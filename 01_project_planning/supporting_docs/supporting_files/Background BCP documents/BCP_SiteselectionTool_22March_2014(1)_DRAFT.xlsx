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0" windowWidth="19410" windowHeight="7995" tabRatio="648" firstSheet="1" activeTab="1"/>
  </bookViews>
  <sheets>
    <sheet name="Menus" sheetId="9" state="hidden" r:id="rId1"/>
    <sheet name="How to" sheetId="10" r:id="rId2"/>
    <sheet name="Area 1" sheetId="2" r:id="rId3"/>
    <sheet name="Sheet3" sheetId="3" r:id="rId4"/>
    <sheet name="Sheet4" sheetId="4" r:id="rId5"/>
    <sheet name="Sheet5" sheetId="5" r:id="rId6"/>
    <sheet name="Sheet6" sheetId="6" r:id="rId7"/>
    <sheet name="Sheet7" sheetId="7" r:id="rId8"/>
    <sheet name="Sheet8" sheetId="8" r:id="rId9"/>
  </sheets>
  <definedNames>
    <definedName name="biomass">Menus!$C$22:$C$24</definedName>
    <definedName name="cover">Menus!$C$19:$C$21</definedName>
    <definedName name="leak">Menus!$C$28:$C$30</definedName>
    <definedName name="logis">Menus!$C$48:$C$50</definedName>
    <definedName name="ner">Menus!$C$103:$C$105</definedName>
    <definedName name="opportunity" localSheetId="1">Menus!#REF!</definedName>
    <definedName name="opportunity">Menus!#REF!</definedName>
    <definedName name="size">Menus!$C$11:$C$13</definedName>
    <definedName name="soil">Menus!$C$25:$C$27</definedName>
    <definedName name="tenure">Menus!$B$34:$B$37</definedName>
    <definedName name="threat">Menus!$C$16:$C$18</definedName>
    <definedName name="topo">Menus!$C$2:$C$4</definedName>
    <definedName name="water">Menus!$C$55:$C$58</definedName>
    <definedName name="y_n">Menus!$C$38:$C$39</definedName>
  </definedNames>
  <calcPr calcId="145621"/>
</workbook>
</file>

<file path=xl/calcChain.xml><?xml version="1.0" encoding="utf-8"?>
<calcChain xmlns="http://schemas.openxmlformats.org/spreadsheetml/2006/main">
  <c r="E74" i="10" l="1"/>
  <c r="E73" i="10"/>
  <c r="E72" i="10"/>
  <c r="E71" i="10"/>
  <c r="E70" i="10"/>
  <c r="E68" i="10"/>
  <c r="E67" i="10"/>
  <c r="E65" i="10"/>
  <c r="E64" i="10"/>
  <c r="E63" i="10"/>
  <c r="E62" i="10"/>
  <c r="E60" i="10"/>
  <c r="E59" i="10"/>
  <c r="E58" i="10"/>
  <c r="E57" i="10"/>
  <c r="E56" i="10"/>
  <c r="E55" i="10"/>
  <c r="E53" i="10"/>
  <c r="E52" i="10"/>
  <c r="E51" i="10"/>
  <c r="E50" i="10"/>
  <c r="E48" i="10"/>
  <c r="E47" i="10"/>
  <c r="E46" i="10"/>
  <c r="E45" i="10"/>
  <c r="E44" i="10"/>
  <c r="E75" i="10" s="1"/>
  <c r="E42" i="10"/>
  <c r="E41" i="10"/>
  <c r="E40" i="10"/>
  <c r="E39" i="10"/>
  <c r="E38" i="10"/>
  <c r="E37" i="10"/>
  <c r="E35" i="10"/>
  <c r="E34" i="10"/>
  <c r="E33" i="10"/>
  <c r="E32" i="10"/>
  <c r="E31" i="10"/>
  <c r="E30" i="10"/>
  <c r="E29" i="10"/>
  <c r="E28" i="10"/>
  <c r="E27" i="10"/>
  <c r="E25" i="10"/>
  <c r="E24" i="10"/>
  <c r="E22" i="10"/>
  <c r="E21" i="10"/>
  <c r="E20" i="10"/>
  <c r="E19" i="10"/>
  <c r="E17" i="10"/>
  <c r="E16" i="10"/>
  <c r="E15" i="10"/>
  <c r="E14" i="10"/>
  <c r="E13" i="10"/>
  <c r="E12" i="10"/>
  <c r="E11" i="10"/>
  <c r="E120" i="9"/>
  <c r="E11" i="2"/>
  <c r="E12" i="2"/>
  <c r="E10"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64" i="2" l="1"/>
</calcChain>
</file>

<file path=xl/comments1.xml><?xml version="1.0" encoding="utf-8"?>
<comments xmlns="http://schemas.openxmlformats.org/spreadsheetml/2006/main">
  <authors>
    <author>LJ Theron</author>
  </authors>
  <commentList>
    <comment ref="D9" authorId="0">
      <text>
        <r>
          <rPr>
            <b/>
            <sz val="9"/>
            <color indexed="81"/>
            <rFont val="Tahoma"/>
            <family val="2"/>
          </rPr>
          <t>LJ Theron:</t>
        </r>
        <r>
          <rPr>
            <sz val="9"/>
            <color indexed="81"/>
            <rFont val="Tahoma"/>
            <family val="2"/>
          </rPr>
          <t xml:space="preserve">
Select from the drop down menus</t>
        </r>
      </text>
    </comment>
    <comment ref="E9" authorId="0">
      <text>
        <r>
          <rPr>
            <b/>
            <sz val="9"/>
            <color indexed="81"/>
            <rFont val="Tahoma"/>
            <family val="2"/>
          </rPr>
          <t>LJ Theron:</t>
        </r>
        <r>
          <rPr>
            <sz val="9"/>
            <color indexed="81"/>
            <rFont val="Tahoma"/>
            <family val="2"/>
          </rPr>
          <t xml:space="preserve">
The scores in this column will adjust automatically based on selections made in the rating column</t>
        </r>
      </text>
    </comment>
  </commentList>
</comments>
</file>

<file path=xl/sharedStrings.xml><?xml version="1.0" encoding="utf-8"?>
<sst xmlns="http://schemas.openxmlformats.org/spreadsheetml/2006/main" count="353" uniqueCount="133">
  <si>
    <t>Location relative to protected areas ?</t>
  </si>
  <si>
    <t>Population Density</t>
  </si>
  <si>
    <t>Biodiversity Value</t>
  </si>
  <si>
    <t>Landsat Tiles</t>
  </si>
  <si>
    <t>Adjacent: NO</t>
  </si>
  <si>
    <t>Above - Below: YES</t>
  </si>
  <si>
    <t>JNR Boundaries</t>
  </si>
  <si>
    <t>Host country consent</t>
  </si>
  <si>
    <t>Deforestation threat</t>
  </si>
  <si>
    <t>Forest cover</t>
  </si>
  <si>
    <t>Geospatial</t>
  </si>
  <si>
    <t>Forest metrics</t>
  </si>
  <si>
    <t>Logistics</t>
  </si>
  <si>
    <t>Landowner/Rights Holder Invitation</t>
  </si>
  <si>
    <t>High &gt;25% perimeter</t>
  </si>
  <si>
    <t>Medium 10-25%</t>
  </si>
  <si>
    <t>Low &lt;10%</t>
  </si>
  <si>
    <t>Low &lt;100tCO2e/ha</t>
  </si>
  <si>
    <t>High &gt; 90%</t>
  </si>
  <si>
    <t>Medium 60-90%</t>
  </si>
  <si>
    <t>Low &lt; 60%</t>
  </si>
  <si>
    <t>Soil Carbon</t>
  </si>
  <si>
    <t>Single Entity</t>
  </si>
  <si>
    <t>Multiple Entities</t>
  </si>
  <si>
    <t>Unclear</t>
  </si>
  <si>
    <t>Boundary disputes</t>
  </si>
  <si>
    <t>Topography</t>
  </si>
  <si>
    <t>Flat %</t>
  </si>
  <si>
    <t>Hilly %</t>
  </si>
  <si>
    <t>Title deed sound (if applicable)</t>
  </si>
  <si>
    <t>Y</t>
  </si>
  <si>
    <t>N</t>
  </si>
  <si>
    <t>&gt; 150 000</t>
  </si>
  <si>
    <t>100 000 - 150 000</t>
  </si>
  <si>
    <t>&lt; 100 000</t>
  </si>
  <si>
    <t>Size (ha)</t>
  </si>
  <si>
    <t>Additionality</t>
  </si>
  <si>
    <t>Credible alternative land use</t>
  </si>
  <si>
    <t>Investment Analysis</t>
  </si>
  <si>
    <t>Project is profitable</t>
  </si>
  <si>
    <t>Credible barriers for implementation</t>
  </si>
  <si>
    <t>Baseline barriers</t>
  </si>
  <si>
    <t>Common practice analysis</t>
  </si>
  <si>
    <t>Project is common practice</t>
  </si>
  <si>
    <t>Non-permanence risk</t>
  </si>
  <si>
    <t>Natural risks</t>
  </si>
  <si>
    <t>Opportunity costs</t>
  </si>
  <si>
    <t>Border</t>
  </si>
  <si>
    <t>Within political boundary</t>
  </si>
  <si>
    <t>In country political risks</t>
  </si>
  <si>
    <t>Social benefits</t>
  </si>
  <si>
    <t>Benefits to poorest of poor?</t>
  </si>
  <si>
    <t>Community land - direct benefits to rights holders?</t>
  </si>
  <si>
    <t>Communal land</t>
  </si>
  <si>
    <t>Government land</t>
  </si>
  <si>
    <t>Private title</t>
  </si>
  <si>
    <t>Road network</t>
  </si>
  <si>
    <t>Good</t>
  </si>
  <si>
    <t>Fair</t>
  </si>
  <si>
    <t>Poor</t>
  </si>
  <si>
    <t>Airstrip</t>
  </si>
  <si>
    <t>Water</t>
  </si>
  <si>
    <t>Electricity</t>
  </si>
  <si>
    <t>Borehole</t>
  </si>
  <si>
    <t>Standing</t>
  </si>
  <si>
    <t>Leakage Risk</t>
  </si>
  <si>
    <t>High</t>
  </si>
  <si>
    <t>Medium</t>
  </si>
  <si>
    <t>Low</t>
  </si>
  <si>
    <t>CITES rated species present</t>
  </si>
  <si>
    <t>Critical</t>
  </si>
  <si>
    <t>Vulnerable</t>
  </si>
  <si>
    <t>Significant ecosystem</t>
  </si>
  <si>
    <t>Cultural significance of landscape</t>
  </si>
  <si>
    <t>Accommodation and other infrastructure</t>
  </si>
  <si>
    <t>Implementing partners?</t>
  </si>
  <si>
    <t>NER generation tCO2e/ha/yr</t>
  </si>
  <si>
    <t>&gt; 5</t>
  </si>
  <si>
    <t>&gt; 2 &lt; 5</t>
  </si>
  <si>
    <t>&lt;= 2</t>
  </si>
  <si>
    <t>Willing investors</t>
  </si>
  <si>
    <t>Tenure/Rights Holders</t>
  </si>
  <si>
    <t>Drivers and Agents of Deforestation</t>
  </si>
  <si>
    <t>Planned deforestation</t>
  </si>
  <si>
    <t>Planned deforestation Y/N</t>
  </si>
  <si>
    <t>Mobile agents Y/N</t>
  </si>
  <si>
    <t>Subsistence agriculture</t>
  </si>
  <si>
    <t>Eco-charcoal</t>
  </si>
  <si>
    <t>Deforestation mitigation</t>
  </si>
  <si>
    <t>Commercial agriculture</t>
  </si>
  <si>
    <t>All of above</t>
  </si>
  <si>
    <t>Track record of successful socio-economic ventures?</t>
  </si>
  <si>
    <t>Conservation agriculture</t>
  </si>
  <si>
    <t>Financial Feasibility</t>
  </si>
  <si>
    <t>Commodities</t>
  </si>
  <si>
    <t>Mountainous %</t>
  </si>
  <si>
    <t>Biomass Carbon density</t>
  </si>
  <si>
    <t>Perennial river</t>
  </si>
  <si>
    <t>Barrier Analysis</t>
  </si>
  <si>
    <t>Category</t>
  </si>
  <si>
    <t>Sub-category</t>
  </si>
  <si>
    <t>Score</t>
  </si>
  <si>
    <t>Weight</t>
  </si>
  <si>
    <t>Rating</t>
  </si>
  <si>
    <t>Below</t>
  </si>
  <si>
    <t>Mobile agents</t>
  </si>
  <si>
    <t>y</t>
  </si>
  <si>
    <t>n</t>
  </si>
  <si>
    <t>Investment Analysis - project is profiteable</t>
  </si>
  <si>
    <t>Barrier Analysis - credible implementation barriers</t>
  </si>
  <si>
    <t>Activity</t>
  </si>
  <si>
    <t>Market</t>
  </si>
  <si>
    <t>High &gt;150tCO2e/ha</t>
  </si>
  <si>
    <t>Medium100-150tCO2e/ha</t>
  </si>
  <si>
    <t>Activity shifting</t>
  </si>
  <si>
    <t>Market effects</t>
  </si>
  <si>
    <t>Site</t>
  </si>
  <si>
    <t>SCORE</t>
  </si>
  <si>
    <t>Best score</t>
  </si>
  <si>
    <t>Rating*</t>
  </si>
  <si>
    <t>*enter value or select from drop down</t>
  </si>
  <si>
    <t>Location relative to protected areas</t>
  </si>
  <si>
    <t>This is one of the most important sections as tenure is sensitive and uncertain or contested tenure is a high risk. VCS and other standards are very strict on all components of tenure and demand transparency on tenure and robust contracts. Contested titles and boundaries could potentially fail a project, it thus has to be clarified from an early stage.</t>
  </si>
  <si>
    <t>Use GIS and supplement as far as possible with feedback from locals. A lack of logistics can make a project non-viable.</t>
  </si>
  <si>
    <t>Understanding how deforestation takes place and quantifying it is an important component of REDD projects. Without this mitigation projects can't be successfully implemented and it is not possible to make a convincing argument that an area may be under threat if the threat is poorly understood. It is important to determine if there are mobile agents - people that move in and out of an area and thus pose a leakage risk. E.g. seasonal timber harvesters. Consult local experts and publications to understand what is driving the deforestation e.g. subsistence agriculture, commercial agriculture, timber harvesting and so on. This is important as they not only have accounting implications, but some drivers are much harder to mitigate than others due to opportunity costs.</t>
  </si>
  <si>
    <r>
      <t>This section is completed using GIS, the more accurate and up to date datasets are available, the more inform the decision making will be. Getting data on boundaries of protected areas and even political boundaries can be problematic. Generally only flat lands get deforested and converted to agriculture. Beyond a 20</t>
    </r>
    <r>
      <rPr>
        <sz val="8"/>
        <color theme="1"/>
        <rFont val="Symbol"/>
        <family val="1"/>
        <charset val="2"/>
      </rPr>
      <t>°</t>
    </r>
    <r>
      <rPr>
        <sz val="8"/>
        <color theme="1"/>
        <rFont val="Arial"/>
        <family val="2"/>
      </rPr>
      <t xml:space="preserve"> slope there is seldom deforestation, only degradation from charcoal. Deforestation on steep slopes only happens in places where there are deep soils on hills. A potential project area that is very hilly will most likely not be viable as it will be difficult to substantiate deforestation.</t>
    </r>
  </si>
  <si>
    <t>Use data from in-country and global datasets, preferably from similar ecosystems. Deforestation threat and forest cover is assessed using remote sensing. Soil data from peer reviewed publications should be used with extreme caution as it is highly variable. It is important to remember that the deforested state does not have zero carbon, there is always a residual.</t>
  </si>
  <si>
    <t>Leakage is the shift of deforestation that was bound to happen in the project area to another area. This is plausible if mitigation projects are not implemented. Activity shifting leakage is when activities such as subsistence agriculture move. Market effects leakage is when deforestation/degradation due to commodities shifts to another region e.g. charcoal or timber.</t>
  </si>
  <si>
    <t>If the project does not satisfy additionality it fails under the VCS. The World Bank FCPF is proposing to do away with additionality for jurisdictional programmes if the jurisdiction has a credible baseline that ultimately will then qualify all projects as additional. The first question that needs to be asked to determine additionality is "what is the baseline?" That is, what is happening now? Deforestation through agriculture etc.? The project that will prevent this, is it simply "business as usual"?. Is the new project profitable? If yes, how profitable compared to other credible land uses? Are there other credible land uses other than the baseline or the project? If not, it is not additional. Are their barriers preventing project implementation or the baseline continuing? Use VCS Tool VT0001.</t>
  </si>
  <si>
    <t>The VCS requires that all projects conduct this assessment. It determines the risks of project longevity and if these exceed a certain threshold the project fails. Assess the implementer's competencies, host country instability, land tenure at the project site and opportunity costs if agents of deforestation give up their land for conservation. Natural risks such as fire, disease, geological and elephants are also a consideration, but rarely great in natural systems. The VCS has a guideline document for non-permanence risk assessment.</t>
  </si>
  <si>
    <t>REDD+ projects may not impact negatively on people, particularly poor people. Deforestation in Africa is mostly the result of subsistence agriculture implemented by poor people. Projects where this applies need to benefit poor members of society else there will be leakage or the project will simply fail. The CCB Standard requires that projects benefit poor people and to obtain gold certification, poorest of the poor have to benefit. It is important to assess what projects can be implemented to benefit poor people and how benefits will flow. In areas with no track record of development projects implementation may be challenging.</t>
  </si>
  <si>
    <t>REDD+ projects may not impact negatively on biodiversity and projects that protect areas with exceptional biodiversity can get additional accreditation under the CCB Standard. Use local reports, expert knowledge or global assessments from World Wildlife Fund, Conservation International and CITES to identify exceptional biodiversity. Biodiversity is used in the broadest sense and includes biomes and centres of endemism and all endangered species qualify, not just the charismatic taxa.</t>
  </si>
  <si>
    <t>The deforestation rate combined with the net carbon stocks determine Gross Emissions Reduction generation from which leakage and other variables need to be deducted. If the deforestation rate around the project is low or too far away, the project may not generate enough credits to make it feasible. Important to consider as well is the cost of mitigation project and infrastructure that needs to be built, again if it is too much then the project won't be profitable.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</si>
</sst>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8"/>
      <color theme="1"/>
      <name val="Arial"/>
      <family val="2"/>
    </font>
    <font>
      <sz val="10"/>
      <color rgb="FF000000"/>
      <name val="Arial"/>
      <family val="2"/>
    </font>
    <font>
      <sz val="10"/>
      <color theme="1"/>
      <name val="Arial"/>
      <family val="2"/>
    </font>
    <font>
      <sz val="10"/>
      <name val="Arial"/>
      <family val="2"/>
    </font>
    <font>
      <b/>
      <sz val="10"/>
      <color theme="1"/>
      <name val="Arial"/>
      <family val="2"/>
    </font>
    <font>
      <b/>
      <sz val="10"/>
      <color rgb="FF000000"/>
      <name val="Arial"/>
      <family val="2"/>
    </font>
    <font>
      <b/>
      <sz val="8"/>
      <color theme="1"/>
      <name val="Arial"/>
      <family val="2"/>
    </font>
    <font>
      <sz val="8"/>
      <color rgb="FF000000"/>
      <name val="Arial"/>
      <family val="2"/>
    </font>
    <font>
      <sz val="8"/>
      <name val="Arial"/>
      <family val="2"/>
    </font>
    <font>
      <b/>
      <sz val="8"/>
      <color rgb="FF000000"/>
      <name val="Arial"/>
      <family val="2"/>
    </font>
    <font>
      <sz val="8"/>
      <color theme="1"/>
      <name val="Symbol"/>
      <family val="1"/>
      <charset val="2"/>
    </font>
    <font>
      <sz val="9"/>
      <color indexed="81"/>
      <name val="Tahoma"/>
      <family val="2"/>
    </font>
    <font>
      <b/>
      <sz val="9"/>
      <color indexed="81"/>
      <name val="Tahoma"/>
      <family val="2"/>
    </font>
  </fonts>
  <fills count="18">
    <fill>
      <patternFill patternType="none"/>
    </fill>
    <fill>
      <patternFill patternType="gray125"/>
    </fill>
    <fill>
      <patternFill patternType="solid">
        <fgColor theme="6" tint="-0.249977111117893"/>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0" borderId="0" xfId="0" applyFont="1"/>
    <xf numFmtId="0" fontId="1" fillId="0" borderId="0" xfId="0" applyFont="1" applyAlignment="1"/>
    <xf numFmtId="0" fontId="3" fillId="0" borderId="0" xfId="0" applyFont="1" applyAlignment="1"/>
    <xf numFmtId="0" fontId="4" fillId="0" borderId="0" xfId="0" applyFont="1"/>
    <xf numFmtId="0" fontId="5" fillId="0" borderId="0" xfId="0" applyFont="1" applyAlignment="1"/>
    <xf numFmtId="0" fontId="6" fillId="14" borderId="1" xfId="0" applyFont="1" applyFill="1" applyBorder="1"/>
    <xf numFmtId="0" fontId="0" fillId="14" borderId="1" xfId="0" applyFont="1" applyFill="1" applyBorder="1"/>
    <xf numFmtId="0" fontId="0" fillId="0" borderId="0" xfId="0" applyFont="1"/>
    <xf numFmtId="0" fontId="6" fillId="2" borderId="1" xfId="0" applyFont="1" applyFill="1" applyBorder="1" applyAlignment="1">
      <alignment wrapText="1"/>
    </xf>
    <xf numFmtId="0" fontId="6" fillId="5" borderId="1" xfId="0" applyFont="1" applyFill="1" applyBorder="1" applyAlignment="1">
      <alignment wrapText="1"/>
    </xf>
    <xf numFmtId="0" fontId="0" fillId="5" borderId="1" xfId="0" applyFont="1" applyFill="1" applyBorder="1" applyAlignment="1">
      <alignment wrapText="1"/>
    </xf>
    <xf numFmtId="0" fontId="7" fillId="5" borderId="1" xfId="0" applyFont="1" applyFill="1" applyBorder="1" applyAlignment="1">
      <alignment wrapText="1"/>
    </xf>
    <xf numFmtId="0" fontId="8" fillId="5" borderId="1" xfId="0" applyFont="1" applyFill="1" applyBorder="1" applyAlignment="1">
      <alignment wrapText="1"/>
    </xf>
    <xf numFmtId="0" fontId="0" fillId="0" borderId="0" xfId="0" applyNumberFormat="1" applyFont="1"/>
    <xf numFmtId="0" fontId="9" fillId="6" borderId="1" xfId="0" applyFont="1" applyFill="1" applyBorder="1" applyAlignment="1">
      <alignment wrapText="1"/>
    </xf>
    <xf numFmtId="0" fontId="7" fillId="6" borderId="1" xfId="0" applyFont="1" applyFill="1" applyBorder="1" applyAlignment="1">
      <alignment wrapText="1"/>
    </xf>
    <xf numFmtId="0" fontId="0" fillId="6" borderId="1" xfId="0" applyFont="1" applyFill="1" applyBorder="1" applyAlignment="1">
      <alignment wrapText="1"/>
    </xf>
    <xf numFmtId="0" fontId="9" fillId="9" borderId="1" xfId="0" applyFont="1" applyFill="1" applyBorder="1" applyAlignment="1">
      <alignment wrapText="1"/>
    </xf>
    <xf numFmtId="0" fontId="0" fillId="9" borderId="1" xfId="0" applyFont="1" applyFill="1" applyBorder="1" applyAlignment="1">
      <alignment wrapText="1"/>
    </xf>
    <xf numFmtId="0" fontId="7" fillId="9" borderId="1" xfId="0" applyFont="1" applyFill="1" applyBorder="1" applyAlignment="1">
      <alignment wrapText="1"/>
    </xf>
    <xf numFmtId="0" fontId="6" fillId="4" borderId="1" xfId="0" applyFont="1" applyFill="1" applyBorder="1" applyAlignment="1">
      <alignment wrapText="1"/>
    </xf>
    <xf numFmtId="0" fontId="0" fillId="4" borderId="1" xfId="0" applyFont="1" applyFill="1" applyBorder="1" applyAlignment="1">
      <alignment wrapText="1"/>
    </xf>
    <xf numFmtId="0" fontId="7" fillId="4" borderId="1" xfId="0" applyFont="1" applyFill="1" applyBorder="1" applyAlignment="1">
      <alignment wrapText="1"/>
    </xf>
    <xf numFmtId="0" fontId="9" fillId="11" borderId="1" xfId="0" applyFont="1" applyFill="1" applyBorder="1" applyAlignment="1">
      <alignment wrapText="1"/>
    </xf>
    <xf numFmtId="0" fontId="0" fillId="11" borderId="1" xfId="0" applyFont="1" applyFill="1" applyBorder="1" applyAlignment="1">
      <alignment wrapText="1"/>
    </xf>
    <xf numFmtId="0" fontId="9" fillId="7" borderId="1" xfId="0" applyFont="1" applyFill="1" applyBorder="1" applyAlignment="1">
      <alignment wrapText="1"/>
    </xf>
    <xf numFmtId="0" fontId="0" fillId="7" borderId="1" xfId="0" applyFont="1" applyFill="1" applyBorder="1" applyAlignment="1">
      <alignment wrapText="1"/>
    </xf>
    <xf numFmtId="0" fontId="6" fillId="3" borderId="1" xfId="0" applyFont="1" applyFill="1" applyBorder="1" applyAlignment="1">
      <alignment wrapText="1"/>
    </xf>
    <xf numFmtId="0" fontId="0" fillId="3" borderId="1" xfId="0" applyFont="1" applyFill="1" applyBorder="1" applyAlignment="1">
      <alignment wrapText="1"/>
    </xf>
    <xf numFmtId="0" fontId="7" fillId="3" borderId="1" xfId="0" applyFont="1" applyFill="1" applyBorder="1" applyAlignment="1">
      <alignment wrapText="1"/>
    </xf>
    <xf numFmtId="0" fontId="9" fillId="12" borderId="1" xfId="0" applyFont="1" applyFill="1" applyBorder="1" applyAlignment="1">
      <alignment wrapText="1"/>
    </xf>
    <xf numFmtId="0" fontId="0" fillId="12" borderId="1" xfId="0" applyFont="1" applyFill="1" applyBorder="1" applyAlignment="1">
      <alignment wrapText="1"/>
    </xf>
    <xf numFmtId="0" fontId="7" fillId="12" borderId="1" xfId="0" applyFont="1" applyFill="1" applyBorder="1" applyAlignment="1">
      <alignment wrapText="1"/>
    </xf>
    <xf numFmtId="0" fontId="9" fillId="10" borderId="1" xfId="0" applyFont="1" applyFill="1" applyBorder="1" applyAlignment="1">
      <alignment wrapText="1"/>
    </xf>
    <xf numFmtId="0" fontId="0" fillId="10" borderId="1" xfId="0" applyFont="1" applyFill="1" applyBorder="1" applyAlignment="1">
      <alignment wrapText="1"/>
    </xf>
    <xf numFmtId="0" fontId="9" fillId="8" borderId="1" xfId="0" applyFont="1" applyFill="1" applyBorder="1" applyAlignment="1">
      <alignment wrapText="1"/>
    </xf>
    <xf numFmtId="0" fontId="0" fillId="8" borderId="1" xfId="0" applyFont="1" applyFill="1" applyBorder="1" applyAlignment="1">
      <alignment wrapText="1"/>
    </xf>
    <xf numFmtId="0" fontId="6" fillId="13" borderId="1" xfId="0" applyFont="1" applyFill="1" applyBorder="1" applyAlignment="1">
      <alignment wrapText="1"/>
    </xf>
    <xf numFmtId="0" fontId="0" fillId="13" borderId="1" xfId="0" applyFont="1" applyFill="1" applyBorder="1" applyAlignment="1">
      <alignment wrapText="1"/>
    </xf>
    <xf numFmtId="0" fontId="6" fillId="15" borderId="1" xfId="0" applyFont="1" applyFill="1" applyBorder="1"/>
    <xf numFmtId="0" fontId="0" fillId="2" borderId="0" xfId="0" applyFill="1" applyAlignment="1">
      <alignment wrapText="1"/>
    </xf>
    <xf numFmtId="0" fontId="7" fillId="5" borderId="1" xfId="0" applyFont="1" applyFill="1" applyBorder="1" applyAlignment="1"/>
    <xf numFmtId="0" fontId="0" fillId="16" borderId="1" xfId="0" applyFont="1" applyFill="1" applyBorder="1" applyAlignment="1">
      <alignment wrapText="1"/>
    </xf>
    <xf numFmtId="0" fontId="6" fillId="16" borderId="1" xfId="0" applyFont="1" applyFill="1" applyBorder="1"/>
    <xf numFmtId="0" fontId="0" fillId="17" borderId="2" xfId="0" applyFill="1" applyBorder="1" applyAlignment="1">
      <alignment horizontal="left" vertical="center" wrapText="1"/>
    </xf>
    <xf numFmtId="0" fontId="6" fillId="17" borderId="3" xfId="0" applyFont="1" applyFill="1" applyBorder="1" applyAlignment="1">
      <alignment horizontal="left" vertical="center" wrapText="1"/>
    </xf>
    <xf numFmtId="0" fontId="6" fillId="17" borderId="4" xfId="0" applyFont="1" applyFill="1" applyBorder="1" applyAlignment="1">
      <alignment horizontal="left" vertical="center" wrapText="1"/>
    </xf>
    <xf numFmtId="0" fontId="6" fillId="2"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1485900</xdr:colOff>
      <xdr:row>6</xdr:row>
      <xdr:rowOff>56104</xdr:rowOff>
    </xdr:to>
    <xdr:pic>
      <xdr:nvPicPr>
        <xdr:cNvPr id="2" name="Picture 1" descr="BCP CLR LOGO-FINAL LoRes.jpeg"/>
        <xdr:cNvPicPr>
          <a:picLocks noChangeAspect="1"/>
        </xdr:cNvPicPr>
      </xdr:nvPicPr>
      <xdr:blipFill>
        <a:blip xmlns:r="http://schemas.openxmlformats.org/officeDocument/2006/relationships" r:embed="rId1" cstate="print"/>
        <a:stretch>
          <a:fillRect/>
        </a:stretch>
      </xdr:blipFill>
      <xdr:spPr>
        <a:xfrm>
          <a:off x="0" y="0"/>
          <a:ext cx="2952750" cy="913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1485900</xdr:colOff>
      <xdr:row>6</xdr:row>
      <xdr:rowOff>56104</xdr:rowOff>
    </xdr:to>
    <xdr:pic>
      <xdr:nvPicPr>
        <xdr:cNvPr id="2" name="Picture 1" descr="BCP CLR LOGO-FINAL LoRes.jpeg"/>
        <xdr:cNvPicPr>
          <a:picLocks noChangeAspect="1"/>
        </xdr:cNvPicPr>
      </xdr:nvPicPr>
      <xdr:blipFill>
        <a:blip xmlns:r="http://schemas.openxmlformats.org/officeDocument/2006/relationships" r:embed="rId1" cstate="print"/>
        <a:stretch>
          <a:fillRect/>
        </a:stretch>
      </xdr:blipFill>
      <xdr:spPr>
        <a:xfrm>
          <a:off x="0" y="0"/>
          <a:ext cx="2952750" cy="913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0"/>
  <sheetViews>
    <sheetView topLeftCell="A52" workbookViewId="0">
      <selection activeCell="A124" sqref="A124"/>
    </sheetView>
  </sheetViews>
  <sheetFormatPr defaultColWidth="9.33203125" defaultRowHeight="12.75" x14ac:dyDescent="0.2"/>
  <cols>
    <col min="1" max="1" width="53.6640625" style="1" customWidth="1"/>
    <col min="2" max="2" width="47.33203125" style="1" customWidth="1"/>
    <col min="3" max="3" width="18.5" style="1" customWidth="1"/>
    <col min="4" max="16384" width="9.33203125" style="1"/>
  </cols>
  <sheetData>
    <row r="1" spans="1:5" x14ac:dyDescent="0.2">
      <c r="D1" s="1" t="s">
        <v>103</v>
      </c>
      <c r="E1" s="1" t="s">
        <v>102</v>
      </c>
    </row>
    <row r="2" spans="1:5" x14ac:dyDescent="0.2">
      <c r="A2" s="4" t="s">
        <v>10</v>
      </c>
      <c r="B2" s="1" t="s">
        <v>26</v>
      </c>
      <c r="C2" s="1" t="s">
        <v>27</v>
      </c>
      <c r="E2" s="1">
        <v>10</v>
      </c>
    </row>
    <row r="3" spans="1:5" x14ac:dyDescent="0.2">
      <c r="A3" s="2"/>
      <c r="C3" s="1" t="s">
        <v>28</v>
      </c>
      <c r="E3" s="1">
        <v>5</v>
      </c>
    </row>
    <row r="4" spans="1:5" x14ac:dyDescent="0.2">
      <c r="A4" s="2"/>
      <c r="C4" s="1" t="s">
        <v>95</v>
      </c>
      <c r="E4" s="1">
        <v>1</v>
      </c>
    </row>
    <row r="5" spans="1:5" x14ac:dyDescent="0.2">
      <c r="B5" s="2" t="s">
        <v>0</v>
      </c>
      <c r="C5" s="1" t="s">
        <v>47</v>
      </c>
      <c r="D5" s="1" t="s">
        <v>106</v>
      </c>
      <c r="E5" s="1">
        <v>8</v>
      </c>
    </row>
    <row r="6" spans="1:5" x14ac:dyDescent="0.2">
      <c r="B6" s="2"/>
      <c r="D6" s="1" t="s">
        <v>107</v>
      </c>
      <c r="E6" s="1">
        <v>5</v>
      </c>
    </row>
    <row r="7" spans="1:5" x14ac:dyDescent="0.2">
      <c r="B7" s="2"/>
    </row>
    <row r="8" spans="1:5" x14ac:dyDescent="0.2">
      <c r="B8" s="2" t="s">
        <v>6</v>
      </c>
      <c r="C8" s="1" t="s">
        <v>48</v>
      </c>
      <c r="D8" s="1" t="s">
        <v>106</v>
      </c>
      <c r="E8" s="1">
        <v>8</v>
      </c>
    </row>
    <row r="9" spans="1:5" x14ac:dyDescent="0.2">
      <c r="B9" s="2"/>
      <c r="D9" s="1" t="s">
        <v>107</v>
      </c>
      <c r="E9" s="1">
        <v>5</v>
      </c>
    </row>
    <row r="10" spans="1:5" x14ac:dyDescent="0.2">
      <c r="B10" s="2"/>
    </row>
    <row r="11" spans="1:5" x14ac:dyDescent="0.2">
      <c r="B11" s="3" t="s">
        <v>35</v>
      </c>
      <c r="C11" s="1" t="s">
        <v>32</v>
      </c>
      <c r="E11" s="1">
        <v>10</v>
      </c>
    </row>
    <row r="12" spans="1:5" x14ac:dyDescent="0.2">
      <c r="C12" s="1" t="s">
        <v>33</v>
      </c>
      <c r="E12" s="1">
        <v>5</v>
      </c>
    </row>
    <row r="13" spans="1:5" x14ac:dyDescent="0.2">
      <c r="C13" s="1" t="s">
        <v>34</v>
      </c>
      <c r="E13" s="1">
        <v>2</v>
      </c>
    </row>
    <row r="14" spans="1:5" x14ac:dyDescent="0.2">
      <c r="B14" s="2" t="s">
        <v>3</v>
      </c>
      <c r="C14" s="2" t="s">
        <v>4</v>
      </c>
      <c r="E14" s="1">
        <v>2</v>
      </c>
    </row>
    <row r="15" spans="1:5" x14ac:dyDescent="0.2">
      <c r="C15" s="2" t="s">
        <v>5</v>
      </c>
      <c r="E15" s="1">
        <v>4</v>
      </c>
    </row>
    <row r="16" spans="1:5" x14ac:dyDescent="0.2">
      <c r="A16" s="5" t="s">
        <v>11</v>
      </c>
      <c r="B16" s="2" t="s">
        <v>8</v>
      </c>
      <c r="C16" s="1" t="s">
        <v>14</v>
      </c>
      <c r="E16" s="1">
        <v>10</v>
      </c>
    </row>
    <row r="17" spans="1:5" x14ac:dyDescent="0.2">
      <c r="C17" s="1" t="s">
        <v>15</v>
      </c>
      <c r="E17" s="1">
        <v>5</v>
      </c>
    </row>
    <row r="18" spans="1:5" x14ac:dyDescent="0.2">
      <c r="C18" s="1" t="s">
        <v>16</v>
      </c>
      <c r="E18" s="1">
        <v>2</v>
      </c>
    </row>
    <row r="19" spans="1:5" x14ac:dyDescent="0.2">
      <c r="B19" s="2" t="s">
        <v>9</v>
      </c>
      <c r="C19" s="1" t="s">
        <v>18</v>
      </c>
      <c r="E19" s="1">
        <v>10</v>
      </c>
    </row>
    <row r="20" spans="1:5" x14ac:dyDescent="0.2">
      <c r="A20" s="2"/>
      <c r="C20" s="1" t="s">
        <v>19</v>
      </c>
      <c r="E20" s="1">
        <v>7</v>
      </c>
    </row>
    <row r="21" spans="1:5" x14ac:dyDescent="0.2">
      <c r="A21" s="2"/>
      <c r="C21" s="1" t="s">
        <v>20</v>
      </c>
      <c r="E21" s="1">
        <v>2</v>
      </c>
    </row>
    <row r="22" spans="1:5" x14ac:dyDescent="0.2">
      <c r="A22" s="2"/>
      <c r="B22" s="2" t="s">
        <v>96</v>
      </c>
      <c r="C22" s="1" t="s">
        <v>112</v>
      </c>
      <c r="E22" s="1">
        <v>10</v>
      </c>
    </row>
    <row r="23" spans="1:5" x14ac:dyDescent="0.2">
      <c r="A23" s="2"/>
      <c r="C23" s="1" t="s">
        <v>113</v>
      </c>
      <c r="E23" s="1">
        <v>7</v>
      </c>
    </row>
    <row r="24" spans="1:5" x14ac:dyDescent="0.2">
      <c r="A24" s="2"/>
      <c r="C24" s="1" t="s">
        <v>17</v>
      </c>
      <c r="E24" s="1">
        <v>3</v>
      </c>
    </row>
    <row r="25" spans="1:5" x14ac:dyDescent="0.2">
      <c r="A25" s="2"/>
      <c r="B25" s="1" t="s">
        <v>21</v>
      </c>
      <c r="C25" s="1" t="s">
        <v>112</v>
      </c>
      <c r="E25" s="1">
        <v>10</v>
      </c>
    </row>
    <row r="26" spans="1:5" x14ac:dyDescent="0.2">
      <c r="A26" s="2"/>
      <c r="C26" s="1" t="s">
        <v>113</v>
      </c>
      <c r="E26" s="1">
        <v>7</v>
      </c>
    </row>
    <row r="27" spans="1:5" x14ac:dyDescent="0.2">
      <c r="A27" s="2"/>
      <c r="C27" s="1" t="s">
        <v>17</v>
      </c>
      <c r="E27" s="1">
        <v>3</v>
      </c>
    </row>
    <row r="28" spans="1:5" x14ac:dyDescent="0.2">
      <c r="A28" s="5" t="s">
        <v>65</v>
      </c>
      <c r="B28" s="1" t="s">
        <v>110</v>
      </c>
      <c r="C28" s="1" t="s">
        <v>66</v>
      </c>
      <c r="E28" s="1">
        <v>1</v>
      </c>
    </row>
    <row r="29" spans="1:5" x14ac:dyDescent="0.2">
      <c r="A29" s="2"/>
      <c r="C29" s="1" t="s">
        <v>67</v>
      </c>
      <c r="E29" s="1">
        <v>5</v>
      </c>
    </row>
    <row r="30" spans="1:5" x14ac:dyDescent="0.2">
      <c r="C30" s="1" t="s">
        <v>68</v>
      </c>
      <c r="E30" s="1">
        <v>10</v>
      </c>
    </row>
    <row r="31" spans="1:5" x14ac:dyDescent="0.2">
      <c r="B31" s="1" t="s">
        <v>111</v>
      </c>
      <c r="C31" s="1" t="s">
        <v>66</v>
      </c>
      <c r="E31" s="1">
        <v>1</v>
      </c>
    </row>
    <row r="32" spans="1:5" x14ac:dyDescent="0.2">
      <c r="C32" s="1" t="s">
        <v>67</v>
      </c>
      <c r="E32" s="1">
        <v>5</v>
      </c>
    </row>
    <row r="33" spans="1:5" x14ac:dyDescent="0.2">
      <c r="C33" s="1" t="s">
        <v>68</v>
      </c>
      <c r="E33" s="1">
        <v>10</v>
      </c>
    </row>
    <row r="34" spans="1:5" x14ac:dyDescent="0.2">
      <c r="A34" s="4" t="s">
        <v>81</v>
      </c>
      <c r="B34" s="1" t="s">
        <v>22</v>
      </c>
      <c r="E34" s="1">
        <v>8</v>
      </c>
    </row>
    <row r="35" spans="1:5" x14ac:dyDescent="0.2">
      <c r="A35" s="2"/>
      <c r="B35" s="1" t="s">
        <v>23</v>
      </c>
      <c r="E35" s="1">
        <v>5</v>
      </c>
    </row>
    <row r="36" spans="1:5" x14ac:dyDescent="0.2">
      <c r="A36" s="2"/>
      <c r="B36" s="1" t="s">
        <v>24</v>
      </c>
      <c r="E36" s="1">
        <v>1</v>
      </c>
    </row>
    <row r="37" spans="1:5" x14ac:dyDescent="0.2">
      <c r="A37" s="2"/>
      <c r="B37" s="1" t="s">
        <v>55</v>
      </c>
      <c r="E37" s="1">
        <v>6</v>
      </c>
    </row>
    <row r="38" spans="1:5" x14ac:dyDescent="0.2">
      <c r="B38" s="2" t="s">
        <v>29</v>
      </c>
      <c r="C38" s="1" t="s">
        <v>30</v>
      </c>
      <c r="E38" s="1">
        <v>10</v>
      </c>
    </row>
    <row r="39" spans="1:5" x14ac:dyDescent="0.2">
      <c r="C39" s="1" t="s">
        <v>31</v>
      </c>
      <c r="E39" s="1">
        <v>0</v>
      </c>
    </row>
    <row r="40" spans="1:5" x14ac:dyDescent="0.2">
      <c r="A40" s="2"/>
      <c r="B40" s="2" t="s">
        <v>13</v>
      </c>
      <c r="C40" s="1" t="s">
        <v>30</v>
      </c>
      <c r="E40" s="1">
        <v>10</v>
      </c>
    </row>
    <row r="41" spans="1:5" x14ac:dyDescent="0.2">
      <c r="A41" s="2"/>
      <c r="B41" s="2"/>
      <c r="C41" s="1" t="s">
        <v>31</v>
      </c>
      <c r="E41" s="1">
        <v>3</v>
      </c>
    </row>
    <row r="42" spans="1:5" x14ac:dyDescent="0.2">
      <c r="B42" s="1" t="s">
        <v>7</v>
      </c>
      <c r="C42" s="1" t="s">
        <v>30</v>
      </c>
      <c r="E42" s="1">
        <v>5</v>
      </c>
    </row>
    <row r="43" spans="1:5" x14ac:dyDescent="0.2">
      <c r="C43" s="1" t="s">
        <v>31</v>
      </c>
      <c r="E43" s="1">
        <v>0</v>
      </c>
    </row>
    <row r="44" spans="1:5" x14ac:dyDescent="0.2">
      <c r="B44" s="1" t="s">
        <v>53</v>
      </c>
      <c r="C44" s="1" t="s">
        <v>30</v>
      </c>
      <c r="E44" s="1">
        <v>8</v>
      </c>
    </row>
    <row r="45" spans="1:5" x14ac:dyDescent="0.2">
      <c r="C45" s="1" t="s">
        <v>31</v>
      </c>
      <c r="E45" s="1">
        <v>2</v>
      </c>
    </row>
    <row r="46" spans="1:5" x14ac:dyDescent="0.2">
      <c r="B46" s="1" t="s">
        <v>54</v>
      </c>
      <c r="C46" s="1" t="s">
        <v>30</v>
      </c>
      <c r="E46" s="1">
        <v>5</v>
      </c>
    </row>
    <row r="47" spans="1:5" x14ac:dyDescent="0.2">
      <c r="C47" s="1" t="s">
        <v>31</v>
      </c>
      <c r="E47" s="1">
        <v>2</v>
      </c>
    </row>
    <row r="48" spans="1:5" x14ac:dyDescent="0.2">
      <c r="A48" s="5" t="s">
        <v>12</v>
      </c>
      <c r="B48" s="1" t="s">
        <v>56</v>
      </c>
      <c r="C48" s="1" t="s">
        <v>57</v>
      </c>
      <c r="E48" s="1">
        <v>9</v>
      </c>
    </row>
    <row r="49" spans="1:5" x14ac:dyDescent="0.2">
      <c r="C49" s="1" t="s">
        <v>58</v>
      </c>
      <c r="E49" s="1">
        <v>6</v>
      </c>
    </row>
    <row r="50" spans="1:5" x14ac:dyDescent="0.2">
      <c r="C50" s="1" t="s">
        <v>59</v>
      </c>
      <c r="E50" s="1">
        <v>2</v>
      </c>
    </row>
    <row r="51" spans="1:5" x14ac:dyDescent="0.2">
      <c r="B51" s="1" t="s">
        <v>60</v>
      </c>
      <c r="C51" s="1" t="s">
        <v>30</v>
      </c>
      <c r="E51" s="1">
        <v>5</v>
      </c>
    </row>
    <row r="52" spans="1:5" x14ac:dyDescent="0.2">
      <c r="C52" s="1" t="s">
        <v>31</v>
      </c>
      <c r="E52" s="1">
        <v>2</v>
      </c>
    </row>
    <row r="53" spans="1:5" x14ac:dyDescent="0.2">
      <c r="B53" s="1" t="s">
        <v>74</v>
      </c>
      <c r="C53" s="1" t="s">
        <v>30</v>
      </c>
      <c r="E53" s="1">
        <v>8</v>
      </c>
    </row>
    <row r="54" spans="1:5" x14ac:dyDescent="0.2">
      <c r="C54" s="1" t="s">
        <v>31</v>
      </c>
      <c r="E54" s="1">
        <v>2</v>
      </c>
    </row>
    <row r="55" spans="1:5" x14ac:dyDescent="0.2">
      <c r="B55" s="1" t="s">
        <v>61</v>
      </c>
      <c r="C55" s="1" t="s">
        <v>63</v>
      </c>
      <c r="E55" s="1">
        <v>5</v>
      </c>
    </row>
    <row r="56" spans="1:5" x14ac:dyDescent="0.2">
      <c r="C56" s="1" t="s">
        <v>64</v>
      </c>
      <c r="E56" s="1">
        <v>2</v>
      </c>
    </row>
    <row r="57" spans="1:5" x14ac:dyDescent="0.2">
      <c r="C57" s="1" t="s">
        <v>97</v>
      </c>
      <c r="E57" s="1">
        <v>8</v>
      </c>
    </row>
    <row r="58" spans="1:5" x14ac:dyDescent="0.2">
      <c r="C58" s="1" t="s">
        <v>90</v>
      </c>
      <c r="E58" s="1">
        <v>9</v>
      </c>
    </row>
    <row r="59" spans="1:5" x14ac:dyDescent="0.2">
      <c r="B59" s="1" t="s">
        <v>62</v>
      </c>
      <c r="E59" s="1">
        <v>8</v>
      </c>
    </row>
    <row r="60" spans="1:5" x14ac:dyDescent="0.2">
      <c r="B60" s="1" t="s">
        <v>75</v>
      </c>
      <c r="C60" s="1" t="s">
        <v>30</v>
      </c>
      <c r="E60" s="1">
        <v>10</v>
      </c>
    </row>
    <row r="61" spans="1:5" x14ac:dyDescent="0.2">
      <c r="C61" s="1" t="s">
        <v>31</v>
      </c>
      <c r="E61" s="1">
        <v>5</v>
      </c>
    </row>
    <row r="62" spans="1:5" x14ac:dyDescent="0.2">
      <c r="A62" s="2"/>
      <c r="B62" s="1" t="s">
        <v>25</v>
      </c>
      <c r="C62" s="1" t="s">
        <v>30</v>
      </c>
      <c r="E62" s="1">
        <v>2</v>
      </c>
    </row>
    <row r="63" spans="1:5" x14ac:dyDescent="0.2">
      <c r="A63" s="2"/>
      <c r="C63" s="1" t="s">
        <v>31</v>
      </c>
      <c r="E63" s="1">
        <v>10</v>
      </c>
    </row>
    <row r="64" spans="1:5" x14ac:dyDescent="0.2">
      <c r="A64" s="5" t="s">
        <v>36</v>
      </c>
      <c r="B64" s="1" t="s">
        <v>37</v>
      </c>
      <c r="C64" s="1" t="s">
        <v>30</v>
      </c>
      <c r="E64" s="1">
        <v>5</v>
      </c>
    </row>
    <row r="65" spans="1:5" x14ac:dyDescent="0.2">
      <c r="A65" s="5"/>
      <c r="C65" s="1" t="s">
        <v>31</v>
      </c>
      <c r="E65" s="1">
        <v>0</v>
      </c>
    </row>
    <row r="66" spans="1:5" x14ac:dyDescent="0.2">
      <c r="B66" s="1" t="s">
        <v>108</v>
      </c>
      <c r="C66" s="1" t="s">
        <v>30</v>
      </c>
      <c r="E66" s="1">
        <v>2</v>
      </c>
    </row>
    <row r="67" spans="1:5" x14ac:dyDescent="0.2">
      <c r="C67" s="1" t="s">
        <v>31</v>
      </c>
      <c r="E67" s="1">
        <v>5</v>
      </c>
    </row>
    <row r="68" spans="1:5" x14ac:dyDescent="0.2">
      <c r="B68" s="1" t="s">
        <v>109</v>
      </c>
      <c r="C68" s="1" t="s">
        <v>30</v>
      </c>
      <c r="E68" s="1">
        <v>5</v>
      </c>
    </row>
    <row r="69" spans="1:5" x14ac:dyDescent="0.2">
      <c r="C69" s="1" t="s">
        <v>31</v>
      </c>
      <c r="E69" s="1">
        <v>0</v>
      </c>
    </row>
    <row r="70" spans="1:5" x14ac:dyDescent="0.2">
      <c r="B70" s="1" t="s">
        <v>41</v>
      </c>
      <c r="C70" s="1" t="s">
        <v>30</v>
      </c>
      <c r="E70" s="1">
        <v>0</v>
      </c>
    </row>
    <row r="71" spans="1:5" x14ac:dyDescent="0.2">
      <c r="C71" s="1" t="s">
        <v>31</v>
      </c>
      <c r="E71" s="1">
        <v>5</v>
      </c>
    </row>
    <row r="72" spans="1:5" x14ac:dyDescent="0.2">
      <c r="B72" s="1" t="s">
        <v>42</v>
      </c>
      <c r="C72" s="1" t="s">
        <v>30</v>
      </c>
      <c r="E72" s="1">
        <v>2</v>
      </c>
    </row>
    <row r="73" spans="1:5" x14ac:dyDescent="0.2">
      <c r="C73" s="1" t="s">
        <v>31</v>
      </c>
      <c r="E73" s="1">
        <v>5</v>
      </c>
    </row>
    <row r="74" spans="1:5" x14ac:dyDescent="0.2">
      <c r="A74" s="4" t="s">
        <v>44</v>
      </c>
      <c r="B74" s="1" t="s">
        <v>25</v>
      </c>
      <c r="C74" s="1" t="s">
        <v>30</v>
      </c>
      <c r="E74" s="1">
        <v>2</v>
      </c>
    </row>
    <row r="75" spans="1:5" x14ac:dyDescent="0.2">
      <c r="A75" s="4"/>
      <c r="C75" s="1" t="s">
        <v>31</v>
      </c>
      <c r="E75" s="1">
        <v>10</v>
      </c>
    </row>
    <row r="76" spans="1:5" x14ac:dyDescent="0.2">
      <c r="A76" s="2"/>
      <c r="B76" s="1" t="s">
        <v>45</v>
      </c>
      <c r="C76" s="1" t="s">
        <v>30</v>
      </c>
      <c r="E76" s="1">
        <v>2</v>
      </c>
    </row>
    <row r="77" spans="1:5" x14ac:dyDescent="0.2">
      <c r="A77" s="2"/>
      <c r="C77" s="1" t="s">
        <v>31</v>
      </c>
      <c r="E77" s="1">
        <v>5</v>
      </c>
    </row>
    <row r="78" spans="1:5" x14ac:dyDescent="0.2">
      <c r="A78" s="2"/>
      <c r="B78" s="1" t="s">
        <v>49</v>
      </c>
      <c r="C78" s="1" t="s">
        <v>30</v>
      </c>
      <c r="E78" s="1">
        <v>2</v>
      </c>
    </row>
    <row r="79" spans="1:5" x14ac:dyDescent="0.2">
      <c r="A79" s="2"/>
      <c r="C79" s="1" t="s">
        <v>31</v>
      </c>
      <c r="E79" s="1">
        <v>5</v>
      </c>
    </row>
    <row r="80" spans="1:5" x14ac:dyDescent="0.2">
      <c r="A80" s="2"/>
      <c r="B80" s="1" t="s">
        <v>46</v>
      </c>
      <c r="C80" s="1" t="s">
        <v>66</v>
      </c>
      <c r="E80" s="1">
        <v>0</v>
      </c>
    </row>
    <row r="81" spans="1:5" x14ac:dyDescent="0.2">
      <c r="A81" s="2"/>
      <c r="C81" s="1" t="s">
        <v>67</v>
      </c>
      <c r="E81" s="1">
        <v>2</v>
      </c>
    </row>
    <row r="82" spans="1:5" x14ac:dyDescent="0.2">
      <c r="A82" s="2"/>
      <c r="C82" s="1" t="s">
        <v>68</v>
      </c>
      <c r="E82" s="1">
        <v>10</v>
      </c>
    </row>
    <row r="83" spans="1:5" x14ac:dyDescent="0.2">
      <c r="A83" s="5" t="s">
        <v>50</v>
      </c>
      <c r="B83" s="1" t="s">
        <v>51</v>
      </c>
      <c r="C83" s="1" t="s">
        <v>30</v>
      </c>
      <c r="E83" s="1">
        <v>10</v>
      </c>
    </row>
    <row r="84" spans="1:5" x14ac:dyDescent="0.2">
      <c r="A84" s="5"/>
      <c r="C84" s="1" t="s">
        <v>31</v>
      </c>
      <c r="E84" s="1">
        <v>2</v>
      </c>
    </row>
    <row r="85" spans="1:5" x14ac:dyDescent="0.2">
      <c r="A85" s="2"/>
      <c r="B85" s="1" t="s">
        <v>52</v>
      </c>
      <c r="C85" s="1" t="s">
        <v>30</v>
      </c>
      <c r="E85" s="1">
        <v>10</v>
      </c>
    </row>
    <row r="86" spans="1:5" x14ac:dyDescent="0.2">
      <c r="A86" s="2"/>
      <c r="C86" s="1" t="s">
        <v>31</v>
      </c>
      <c r="E86" s="1">
        <v>5</v>
      </c>
    </row>
    <row r="87" spans="1:5" x14ac:dyDescent="0.2">
      <c r="A87" s="2"/>
      <c r="B87" s="1" t="s">
        <v>91</v>
      </c>
      <c r="C87" s="1" t="s">
        <v>30</v>
      </c>
      <c r="E87" s="1">
        <v>10</v>
      </c>
    </row>
    <row r="88" spans="1:5" x14ac:dyDescent="0.2">
      <c r="A88" s="2"/>
      <c r="C88" s="1" t="s">
        <v>31</v>
      </c>
      <c r="E88" s="1">
        <v>5</v>
      </c>
    </row>
    <row r="89" spans="1:5" x14ac:dyDescent="0.2">
      <c r="A89" s="2"/>
      <c r="B89" s="1" t="s">
        <v>88</v>
      </c>
      <c r="C89" s="1" t="s">
        <v>87</v>
      </c>
      <c r="D89" s="1" t="s">
        <v>30</v>
      </c>
      <c r="E89" s="1">
        <v>5</v>
      </c>
    </row>
    <row r="90" spans="1:5" x14ac:dyDescent="0.2">
      <c r="A90" s="2"/>
      <c r="D90" s="1" t="s">
        <v>31</v>
      </c>
      <c r="E90" s="1">
        <v>2</v>
      </c>
    </row>
    <row r="91" spans="1:5" x14ac:dyDescent="0.2">
      <c r="A91" s="2"/>
      <c r="C91" s="1" t="s">
        <v>92</v>
      </c>
      <c r="D91" s="1" t="s">
        <v>30</v>
      </c>
      <c r="E91" s="1">
        <v>5</v>
      </c>
    </row>
    <row r="92" spans="1:5" x14ac:dyDescent="0.2">
      <c r="A92" s="2"/>
      <c r="D92" s="1" t="s">
        <v>31</v>
      </c>
      <c r="E92" s="1">
        <v>2</v>
      </c>
    </row>
    <row r="93" spans="1:5" x14ac:dyDescent="0.2">
      <c r="A93" s="2"/>
      <c r="C93" s="1" t="s">
        <v>89</v>
      </c>
      <c r="D93" s="1" t="s">
        <v>30</v>
      </c>
      <c r="E93" s="1">
        <v>2</v>
      </c>
    </row>
    <row r="94" spans="1:5" x14ac:dyDescent="0.2">
      <c r="A94" s="2"/>
      <c r="D94" s="1" t="s">
        <v>31</v>
      </c>
      <c r="E94" s="1">
        <v>5</v>
      </c>
    </row>
    <row r="95" spans="1:5" x14ac:dyDescent="0.2">
      <c r="A95" s="5" t="s">
        <v>2</v>
      </c>
      <c r="B95" s="1" t="s">
        <v>69</v>
      </c>
      <c r="C95" s="1" t="s">
        <v>70</v>
      </c>
      <c r="D95" s="1" t="s">
        <v>30</v>
      </c>
      <c r="E95" s="1">
        <v>8</v>
      </c>
    </row>
    <row r="96" spans="1:5" x14ac:dyDescent="0.2">
      <c r="A96" s="5"/>
      <c r="D96" s="1" t="s">
        <v>31</v>
      </c>
      <c r="E96" s="1">
        <v>5</v>
      </c>
    </row>
    <row r="97" spans="1:5" x14ac:dyDescent="0.2">
      <c r="C97" s="1" t="s">
        <v>71</v>
      </c>
      <c r="D97" s="1" t="s">
        <v>30</v>
      </c>
      <c r="E97" s="1">
        <v>8</v>
      </c>
    </row>
    <row r="98" spans="1:5" x14ac:dyDescent="0.2">
      <c r="D98" s="1" t="s">
        <v>31</v>
      </c>
      <c r="E98" s="1">
        <v>5</v>
      </c>
    </row>
    <row r="99" spans="1:5" x14ac:dyDescent="0.2">
      <c r="B99" s="1" t="s">
        <v>72</v>
      </c>
      <c r="D99" s="1" t="s">
        <v>30</v>
      </c>
      <c r="E99" s="1">
        <v>8</v>
      </c>
    </row>
    <row r="100" spans="1:5" x14ac:dyDescent="0.2">
      <c r="D100" s="1" t="s">
        <v>31</v>
      </c>
      <c r="E100" s="1">
        <v>2</v>
      </c>
    </row>
    <row r="101" spans="1:5" x14ac:dyDescent="0.2">
      <c r="B101" s="1" t="s">
        <v>73</v>
      </c>
      <c r="D101" s="1" t="s">
        <v>30</v>
      </c>
      <c r="E101" s="1">
        <v>8</v>
      </c>
    </row>
    <row r="102" spans="1:5" x14ac:dyDescent="0.2">
      <c r="D102" s="1" t="s">
        <v>31</v>
      </c>
      <c r="E102" s="1">
        <v>2</v>
      </c>
    </row>
    <row r="103" spans="1:5" x14ac:dyDescent="0.2">
      <c r="A103" s="5" t="s">
        <v>93</v>
      </c>
      <c r="B103" s="1" t="s">
        <v>76</v>
      </c>
      <c r="C103" s="1" t="s">
        <v>77</v>
      </c>
      <c r="E103" s="1">
        <v>10</v>
      </c>
    </row>
    <row r="104" spans="1:5" x14ac:dyDescent="0.2">
      <c r="C104" s="1" t="s">
        <v>78</v>
      </c>
      <c r="E104" s="1">
        <v>7</v>
      </c>
    </row>
    <row r="105" spans="1:5" x14ac:dyDescent="0.2">
      <c r="C105" s="1" t="s">
        <v>79</v>
      </c>
      <c r="E105" s="1">
        <v>3</v>
      </c>
    </row>
    <row r="106" spans="1:5" x14ac:dyDescent="0.2">
      <c r="B106" s="1" t="s">
        <v>80</v>
      </c>
      <c r="C106" s="1" t="s">
        <v>30</v>
      </c>
      <c r="E106" s="1">
        <v>10</v>
      </c>
    </row>
    <row r="107" spans="1:5" x14ac:dyDescent="0.2">
      <c r="C107" s="1" t="s">
        <v>31</v>
      </c>
      <c r="E107" s="1">
        <v>3</v>
      </c>
    </row>
    <row r="108" spans="1:5" x14ac:dyDescent="0.2">
      <c r="A108" s="4" t="s">
        <v>82</v>
      </c>
      <c r="B108" s="1" t="s">
        <v>84</v>
      </c>
      <c r="C108" s="1" t="s">
        <v>30</v>
      </c>
      <c r="E108" s="1">
        <v>2</v>
      </c>
    </row>
    <row r="109" spans="1:5" x14ac:dyDescent="0.2">
      <c r="A109" s="4"/>
      <c r="C109" s="1" t="s">
        <v>31</v>
      </c>
      <c r="E109" s="1">
        <v>5</v>
      </c>
    </row>
    <row r="110" spans="1:5" x14ac:dyDescent="0.2">
      <c r="B110" s="1" t="s">
        <v>85</v>
      </c>
      <c r="C110" s="1" t="s">
        <v>30</v>
      </c>
      <c r="E110" s="1">
        <v>2</v>
      </c>
    </row>
    <row r="111" spans="1:5" x14ac:dyDescent="0.2">
      <c r="C111" s="1" t="s">
        <v>31</v>
      </c>
      <c r="E111" s="1">
        <v>8</v>
      </c>
    </row>
    <row r="112" spans="1:5" x14ac:dyDescent="0.2">
      <c r="B112" s="1" t="s">
        <v>1</v>
      </c>
      <c r="C112" s="1" t="s">
        <v>66</v>
      </c>
      <c r="E112" s="1">
        <v>2</v>
      </c>
    </row>
    <row r="113" spans="2:5" x14ac:dyDescent="0.2">
      <c r="C113" s="1" t="s">
        <v>68</v>
      </c>
      <c r="E113" s="1">
        <v>5</v>
      </c>
    </row>
    <row r="114" spans="2:5" x14ac:dyDescent="0.2">
      <c r="B114" s="1" t="s">
        <v>94</v>
      </c>
      <c r="C114" s="1" t="s">
        <v>30</v>
      </c>
      <c r="E114" s="1">
        <v>2</v>
      </c>
    </row>
    <row r="115" spans="2:5" x14ac:dyDescent="0.2">
      <c r="C115" s="1" t="s">
        <v>31</v>
      </c>
      <c r="E115" s="1">
        <v>5</v>
      </c>
    </row>
    <row r="116" spans="2:5" x14ac:dyDescent="0.2">
      <c r="B116" s="1" t="s">
        <v>86</v>
      </c>
      <c r="C116" s="1" t="s">
        <v>30</v>
      </c>
      <c r="E116" s="1">
        <v>5</v>
      </c>
    </row>
    <row r="117" spans="2:5" x14ac:dyDescent="0.2">
      <c r="C117" s="1" t="s">
        <v>31</v>
      </c>
      <c r="E117" s="1">
        <v>2</v>
      </c>
    </row>
    <row r="120" spans="2:5" x14ac:dyDescent="0.2">
      <c r="C120" s="1" t="s">
        <v>118</v>
      </c>
      <c r="E120" s="1">
        <f>SUM(E2,E5,E8,E11,E15,E16,E19,E22,E25,E30,E33,E34,E38,E37,E40,E42,E44,E48,E51,E53,E58,E59,E60,E63,E64,E67,E68,E71,E73,E75,E77,,E82,E83,E85,E87,E89,E91,E94,E95,E97,E99,E101,E103,E106,E109,E111,E113,E115,E116)</f>
        <v>381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8:N75"/>
  <sheetViews>
    <sheetView showGridLines="0" tabSelected="1" zoomScaleNormal="100" zoomScalePageLayoutView="190" workbookViewId="0">
      <selection activeCell="E75" sqref="E75"/>
    </sheetView>
  </sheetViews>
  <sheetFormatPr defaultColWidth="9.33203125" defaultRowHeight="11.25" x14ac:dyDescent="0.2"/>
  <cols>
    <col min="1" max="1" width="26" style="8" customWidth="1"/>
    <col min="2" max="2" width="29.83203125" style="8" customWidth="1"/>
    <col min="3" max="3" width="31.1640625" style="8" customWidth="1"/>
    <col min="4" max="4" width="9.33203125" style="8"/>
    <col min="5" max="5" width="9.83203125" style="8" bestFit="1" customWidth="1"/>
    <col min="6" max="16384" width="9.33203125" style="8"/>
  </cols>
  <sheetData>
    <row r="8" spans="1:14" x14ac:dyDescent="0.2">
      <c r="A8" s="6" t="s">
        <v>116</v>
      </c>
      <c r="B8" s="7"/>
    </row>
    <row r="9" spans="1:14" x14ac:dyDescent="0.2">
      <c r="A9" s="9" t="s">
        <v>99</v>
      </c>
      <c r="B9" s="48" t="s">
        <v>100</v>
      </c>
      <c r="C9" s="48"/>
      <c r="D9" s="9" t="s">
        <v>119</v>
      </c>
      <c r="E9" s="9" t="s">
        <v>101</v>
      </c>
    </row>
    <row r="10" spans="1:14" ht="59.25" customHeight="1" x14ac:dyDescent="0.2">
      <c r="A10" s="45" t="s">
        <v>125</v>
      </c>
      <c r="B10" s="46"/>
      <c r="C10" s="46"/>
      <c r="D10" s="46"/>
      <c r="E10" s="47"/>
    </row>
    <row r="11" spans="1:14" x14ac:dyDescent="0.2">
      <c r="A11" s="10" t="s">
        <v>10</v>
      </c>
      <c r="B11" s="11" t="s">
        <v>26</v>
      </c>
      <c r="C11" s="11" t="s">
        <v>27</v>
      </c>
      <c r="D11" s="43"/>
      <c r="E11" s="11">
        <f>D11/100*Menus!E2</f>
        <v>0</v>
      </c>
    </row>
    <row r="12" spans="1:14" x14ac:dyDescent="0.2">
      <c r="A12" s="12"/>
      <c r="B12" s="11"/>
      <c r="C12" s="11" t="s">
        <v>28</v>
      </c>
      <c r="D12" s="43"/>
      <c r="E12" s="11">
        <f>D12/100*Menus!E3</f>
        <v>0</v>
      </c>
    </row>
    <row r="13" spans="1:14" x14ac:dyDescent="0.2">
      <c r="A13" s="12"/>
      <c r="B13" s="11"/>
      <c r="C13" s="11" t="s">
        <v>95</v>
      </c>
      <c r="D13" s="43"/>
      <c r="E13" s="11">
        <f>D13/100*Menus!E4</f>
        <v>0</v>
      </c>
    </row>
    <row r="14" spans="1:14" x14ac:dyDescent="0.2">
      <c r="A14" s="11"/>
      <c r="B14" s="42" t="s">
        <v>121</v>
      </c>
      <c r="C14" s="11" t="s">
        <v>47</v>
      </c>
      <c r="D14" s="43"/>
      <c r="E14" s="11">
        <f>IF(D14="Y",Menus!E5,Menus!E6)</f>
        <v>5</v>
      </c>
    </row>
    <row r="15" spans="1:14" x14ac:dyDescent="0.2">
      <c r="A15" s="11"/>
      <c r="B15" s="12" t="s">
        <v>6</v>
      </c>
      <c r="C15" s="11" t="s">
        <v>48</v>
      </c>
      <c r="D15" s="43"/>
      <c r="E15" s="11">
        <f>IF(D15="Y",Menus!E8,Menus!E9)</f>
        <v>5</v>
      </c>
    </row>
    <row r="16" spans="1:14" x14ac:dyDescent="0.2">
      <c r="A16" s="11"/>
      <c r="B16" s="13" t="s">
        <v>35</v>
      </c>
      <c r="C16" s="11"/>
      <c r="D16" s="43"/>
      <c r="E16" s="11">
        <f>IF(D16=Menus!C11,Menus!E11,IF(D16=Menus!C12,Menus!E12,Menus!E13))</f>
        <v>2</v>
      </c>
      <c r="M16" s="14"/>
      <c r="N16" s="14"/>
    </row>
    <row r="17" spans="1:14" x14ac:dyDescent="0.2">
      <c r="A17" s="11"/>
      <c r="B17" s="12" t="s">
        <v>3</v>
      </c>
      <c r="C17" s="12" t="s">
        <v>104</v>
      </c>
      <c r="D17" s="43"/>
      <c r="E17" s="11">
        <f>IF(D17="Y",Menus!E15,Menus!E14)</f>
        <v>2</v>
      </c>
      <c r="M17" s="14"/>
      <c r="N17" s="14"/>
    </row>
    <row r="18" spans="1:14" ht="45" customHeight="1" x14ac:dyDescent="0.2">
      <c r="A18" s="45" t="s">
        <v>126</v>
      </c>
      <c r="B18" s="46"/>
      <c r="C18" s="46"/>
      <c r="D18" s="46"/>
      <c r="E18" s="47"/>
      <c r="M18" s="14"/>
      <c r="N18" s="14"/>
    </row>
    <row r="19" spans="1:14" x14ac:dyDescent="0.2">
      <c r="A19" s="15" t="s">
        <v>11</v>
      </c>
      <c r="B19" s="16" t="s">
        <v>8</v>
      </c>
      <c r="C19" s="17"/>
      <c r="D19" s="43"/>
      <c r="E19" s="17">
        <f>IF(D19=Menus!C16,Menus!E16,IF('How to'!D19=Menus!C12,Menus!E12,Menus!E13))</f>
        <v>2</v>
      </c>
      <c r="M19" s="14"/>
      <c r="N19" s="14"/>
    </row>
    <row r="20" spans="1:14" x14ac:dyDescent="0.2">
      <c r="A20" s="17"/>
      <c r="B20" s="16" t="s">
        <v>9</v>
      </c>
      <c r="C20" s="17"/>
      <c r="D20" s="43"/>
      <c r="E20" s="17">
        <f>IF(D20=Menus!C19,Menus!E19,IF(D20=Menus!C20,Menus!E20,Menus!E21))</f>
        <v>2</v>
      </c>
      <c r="M20" s="14"/>
      <c r="N20" s="14"/>
    </row>
    <row r="21" spans="1:14" x14ac:dyDescent="0.2">
      <c r="A21" s="16"/>
      <c r="B21" s="16" t="s">
        <v>96</v>
      </c>
      <c r="C21" s="17"/>
      <c r="D21" s="43"/>
      <c r="E21" s="17">
        <f>IF(D21=Menus!C22,Menus!E22,IF('How to'!D21=Menus!C23,Menus!E23,Menus!E24))</f>
        <v>3</v>
      </c>
      <c r="M21" s="14"/>
      <c r="N21" s="14"/>
    </row>
    <row r="22" spans="1:14" x14ac:dyDescent="0.2">
      <c r="A22" s="16"/>
      <c r="B22" s="17" t="s">
        <v>21</v>
      </c>
      <c r="C22" s="17"/>
      <c r="D22" s="43"/>
      <c r="E22" s="17">
        <f>IF(D22=Menus!C25,Menus!E25,IF('How to'!D22=Menus!C26,Menus!E26,Menus!E27))</f>
        <v>3</v>
      </c>
    </row>
    <row r="23" spans="1:14" ht="36.75" customHeight="1" x14ac:dyDescent="0.2">
      <c r="A23" s="45" t="s">
        <v>127</v>
      </c>
      <c r="B23" s="46"/>
      <c r="C23" s="46"/>
      <c r="D23" s="46"/>
      <c r="E23" s="47"/>
    </row>
    <row r="24" spans="1:14" x14ac:dyDescent="0.2">
      <c r="A24" s="18" t="s">
        <v>65</v>
      </c>
      <c r="B24" s="19" t="s">
        <v>114</v>
      </c>
      <c r="C24" s="19"/>
      <c r="D24" s="43"/>
      <c r="E24" s="19">
        <f>IF(D24=Menus!C28,Menus!E28, IF('How to'!D24=Menus!C29,Menus!E29,Menus!E30))</f>
        <v>10</v>
      </c>
    </row>
    <row r="25" spans="1:14" x14ac:dyDescent="0.2">
      <c r="A25" s="20"/>
      <c r="B25" s="19" t="s">
        <v>115</v>
      </c>
      <c r="C25" s="19"/>
      <c r="D25" s="43"/>
      <c r="E25" s="19">
        <f>IF(D25=Menus!C31,Menus!E31,IF(D25=Menus!C32,Menus!E32,Menus!E33))</f>
        <v>10</v>
      </c>
    </row>
    <row r="26" spans="1:14" ht="42.75" customHeight="1" x14ac:dyDescent="0.2">
      <c r="A26" s="45" t="s">
        <v>122</v>
      </c>
      <c r="B26" s="46"/>
      <c r="C26" s="46"/>
      <c r="D26" s="46"/>
      <c r="E26" s="47"/>
    </row>
    <row r="27" spans="1:14" x14ac:dyDescent="0.2">
      <c r="A27" s="21" t="s">
        <v>81</v>
      </c>
      <c r="B27" s="22" t="s">
        <v>22</v>
      </c>
      <c r="C27" s="22"/>
      <c r="D27" s="43"/>
      <c r="E27" s="22">
        <f>IF(D27="Y",Menus!E34,0)</f>
        <v>0</v>
      </c>
    </row>
    <row r="28" spans="1:14" x14ac:dyDescent="0.2">
      <c r="A28" s="23"/>
      <c r="B28" s="22" t="s">
        <v>23</v>
      </c>
      <c r="C28" s="22"/>
      <c r="D28" s="43"/>
      <c r="E28" s="22">
        <f>IF(D28="Y",Menus!E35,0)</f>
        <v>0</v>
      </c>
    </row>
    <row r="29" spans="1:14" x14ac:dyDescent="0.2">
      <c r="A29" s="23"/>
      <c r="B29" s="22" t="s">
        <v>24</v>
      </c>
      <c r="C29" s="22"/>
      <c r="D29" s="43"/>
      <c r="E29" s="22">
        <f>IF(D29="Y",Menus!E36,0)</f>
        <v>0</v>
      </c>
    </row>
    <row r="30" spans="1:14" x14ac:dyDescent="0.2">
      <c r="A30" s="23"/>
      <c r="B30" s="22" t="s">
        <v>55</v>
      </c>
      <c r="C30" s="22"/>
      <c r="D30" s="43"/>
      <c r="E30" s="22">
        <f>IF(D30="Y",Menus!E37,0)</f>
        <v>0</v>
      </c>
    </row>
    <row r="31" spans="1:14" x14ac:dyDescent="0.2">
      <c r="A31" s="22"/>
      <c r="B31" s="23" t="s">
        <v>29</v>
      </c>
      <c r="C31" s="22"/>
      <c r="D31" s="43"/>
      <c r="E31" s="22">
        <f>IF(D31="Y",Menus!E38,0)</f>
        <v>0</v>
      </c>
    </row>
    <row r="32" spans="1:14" x14ac:dyDescent="0.2">
      <c r="A32" s="23"/>
      <c r="B32" s="23" t="s">
        <v>13</v>
      </c>
      <c r="C32" s="22"/>
      <c r="D32" s="43"/>
      <c r="E32" s="22">
        <f>IF(D32="Y",Menus!E40,Menus!E41)</f>
        <v>3</v>
      </c>
    </row>
    <row r="33" spans="1:5" x14ac:dyDescent="0.2">
      <c r="A33" s="22"/>
      <c r="B33" s="22" t="s">
        <v>7</v>
      </c>
      <c r="C33" s="22"/>
      <c r="D33" s="43"/>
      <c r="E33" s="22">
        <f>IF(D33="Y",Menus!E42,0)</f>
        <v>0</v>
      </c>
    </row>
    <row r="34" spans="1:5" x14ac:dyDescent="0.2">
      <c r="A34" s="22"/>
      <c r="B34" s="22" t="s">
        <v>53</v>
      </c>
      <c r="C34" s="22"/>
      <c r="D34" s="43"/>
      <c r="E34" s="22">
        <f>IF(D34="Y",Menus!E44,Menus!E45)</f>
        <v>2</v>
      </c>
    </row>
    <row r="35" spans="1:5" x14ac:dyDescent="0.2">
      <c r="A35" s="22"/>
      <c r="B35" s="22" t="s">
        <v>54</v>
      </c>
      <c r="C35" s="22"/>
      <c r="D35" s="43"/>
      <c r="E35" s="22">
        <f>IF('How to'!D35="Y",Menus!E46,Menus!E47)</f>
        <v>2</v>
      </c>
    </row>
    <row r="36" spans="1:5" x14ac:dyDescent="0.2">
      <c r="A36" s="45" t="s">
        <v>123</v>
      </c>
      <c r="B36" s="46"/>
      <c r="C36" s="46"/>
      <c r="D36" s="46"/>
      <c r="E36" s="47"/>
    </row>
    <row r="37" spans="1:5" x14ac:dyDescent="0.2">
      <c r="A37" s="24" t="s">
        <v>12</v>
      </c>
      <c r="B37" s="25" t="s">
        <v>56</v>
      </c>
      <c r="C37" s="25"/>
      <c r="D37" s="43"/>
      <c r="E37" s="25">
        <f>IF(D37=Menus!C48,Menus!E48,IF(D37=Menus!C49,Menus!E49,Menus!E50))</f>
        <v>2</v>
      </c>
    </row>
    <row r="38" spans="1:5" x14ac:dyDescent="0.2">
      <c r="A38" s="25"/>
      <c r="B38" s="25" t="s">
        <v>60</v>
      </c>
      <c r="C38" s="25"/>
      <c r="D38" s="43"/>
      <c r="E38" s="25">
        <f>IF(D38="Y",Menus!E51,2)</f>
        <v>2</v>
      </c>
    </row>
    <row r="39" spans="1:5" ht="22.5" x14ac:dyDescent="0.2">
      <c r="A39" s="25"/>
      <c r="B39" s="25" t="s">
        <v>74</v>
      </c>
      <c r="C39" s="25"/>
      <c r="D39" s="43"/>
      <c r="E39" s="25">
        <f>IF(D39="Y",Menus!E53,Menus!E54)</f>
        <v>2</v>
      </c>
    </row>
    <row r="40" spans="1:5" x14ac:dyDescent="0.2">
      <c r="A40" s="25"/>
      <c r="B40" s="25" t="s">
        <v>61</v>
      </c>
      <c r="C40" s="25"/>
      <c r="D40" s="43"/>
      <c r="E40" s="25">
        <f>IF(D40=Menus!C55,Menus!E55,IF(D40=Menus!C56,2,IF(D40=Menus!C57,Menus!E57,Menus!E58)))</f>
        <v>9</v>
      </c>
    </row>
    <row r="41" spans="1:5" x14ac:dyDescent="0.2">
      <c r="A41" s="25"/>
      <c r="B41" s="25" t="s">
        <v>62</v>
      </c>
      <c r="C41" s="25"/>
      <c r="D41" s="43"/>
      <c r="E41" s="25">
        <f>IF(D41="Y",Menus!E59,0)</f>
        <v>0</v>
      </c>
    </row>
    <row r="42" spans="1:5" x14ac:dyDescent="0.2">
      <c r="A42" s="25"/>
      <c r="B42" s="25" t="s">
        <v>75</v>
      </c>
      <c r="C42" s="25"/>
      <c r="D42" s="43"/>
      <c r="E42" s="25">
        <f>IF(D42="Y",Menus!E60,Menus!E61)</f>
        <v>5</v>
      </c>
    </row>
    <row r="43" spans="1:5" ht="72.75" customHeight="1" x14ac:dyDescent="0.2">
      <c r="A43" s="45" t="s">
        <v>128</v>
      </c>
      <c r="B43" s="46"/>
      <c r="C43" s="46"/>
      <c r="D43" s="46"/>
      <c r="E43" s="47"/>
    </row>
    <row r="44" spans="1:5" x14ac:dyDescent="0.2">
      <c r="A44" s="26" t="s">
        <v>36</v>
      </c>
      <c r="B44" s="27" t="s">
        <v>37</v>
      </c>
      <c r="C44" s="27"/>
      <c r="D44" s="43"/>
      <c r="E44" s="27">
        <f>IF(D44="Y",Menus!E64,Menus!E65)</f>
        <v>0</v>
      </c>
    </row>
    <row r="45" spans="1:5" x14ac:dyDescent="0.2">
      <c r="A45" s="27"/>
      <c r="B45" s="27" t="s">
        <v>38</v>
      </c>
      <c r="C45" s="27" t="s">
        <v>39</v>
      </c>
      <c r="D45" s="43"/>
      <c r="E45" s="27">
        <f>IF(D45="Y",Menus!E66,Menus!E67)</f>
        <v>5</v>
      </c>
    </row>
    <row r="46" spans="1:5" x14ac:dyDescent="0.2">
      <c r="A46" s="27"/>
      <c r="B46" s="27" t="s">
        <v>98</v>
      </c>
      <c r="C46" s="27" t="s">
        <v>40</v>
      </c>
      <c r="D46" s="43"/>
      <c r="E46" s="27">
        <f>IF(D46="Y",Menus!E68,Menus!E69)</f>
        <v>0</v>
      </c>
    </row>
    <row r="47" spans="1:5" x14ac:dyDescent="0.2">
      <c r="A47" s="27"/>
      <c r="B47" s="27"/>
      <c r="C47" s="27" t="s">
        <v>41</v>
      </c>
      <c r="D47" s="43"/>
      <c r="E47" s="27">
        <f>IF(D47="Y",Menus!E70,Menus!E71)</f>
        <v>5</v>
      </c>
    </row>
    <row r="48" spans="1:5" x14ac:dyDescent="0.2">
      <c r="A48" s="27"/>
      <c r="B48" s="27" t="s">
        <v>42</v>
      </c>
      <c r="C48" s="27" t="s">
        <v>43</v>
      </c>
      <c r="D48" s="43"/>
      <c r="E48" s="27">
        <f>IF(D48=Menus!E72,Menus!E72,Menus!E73)</f>
        <v>5</v>
      </c>
    </row>
    <row r="49" spans="1:5" ht="60.75" customHeight="1" x14ac:dyDescent="0.2">
      <c r="A49" s="45" t="s">
        <v>129</v>
      </c>
      <c r="B49" s="46"/>
      <c r="C49" s="46"/>
      <c r="D49" s="46"/>
      <c r="E49" s="47"/>
    </row>
    <row r="50" spans="1:5" x14ac:dyDescent="0.2">
      <c r="A50" s="28" t="s">
        <v>44</v>
      </c>
      <c r="B50" s="29" t="s">
        <v>25</v>
      </c>
      <c r="C50" s="29"/>
      <c r="D50" s="43"/>
      <c r="E50" s="29">
        <f>IF(D50="Y",Menus!E74,Menus!E75)</f>
        <v>10</v>
      </c>
    </row>
    <row r="51" spans="1:5" x14ac:dyDescent="0.2">
      <c r="A51" s="30"/>
      <c r="B51" s="29" t="s">
        <v>45</v>
      </c>
      <c r="C51" s="29"/>
      <c r="D51" s="43"/>
      <c r="E51" s="29">
        <f>IF(D51=Menus!E76,Menus!E76,Menus!E77)</f>
        <v>5</v>
      </c>
    </row>
    <row r="52" spans="1:5" x14ac:dyDescent="0.2">
      <c r="A52" s="30"/>
      <c r="B52" s="29" t="s">
        <v>49</v>
      </c>
      <c r="C52" s="29"/>
      <c r="D52" s="43"/>
      <c r="E52" s="29">
        <f>IF(D52="Y",Menus!E78,Menus!E79)</f>
        <v>5</v>
      </c>
    </row>
    <row r="53" spans="1:5" x14ac:dyDescent="0.2">
      <c r="A53" s="30"/>
      <c r="B53" s="29" t="s">
        <v>46</v>
      </c>
      <c r="C53" s="29"/>
      <c r="D53" s="43"/>
      <c r="E53" s="29">
        <f>IF(D53=Menus!C80,Menus!E80,IF(D53=Menus!C81,Menus!E81,Menus!E82))</f>
        <v>10</v>
      </c>
    </row>
    <row r="54" spans="1:5" ht="63.75" customHeight="1" x14ac:dyDescent="0.2">
      <c r="A54" s="45" t="s">
        <v>130</v>
      </c>
      <c r="B54" s="46"/>
      <c r="C54" s="46"/>
      <c r="D54" s="46"/>
      <c r="E54" s="47"/>
    </row>
    <row r="55" spans="1:5" x14ac:dyDescent="0.2">
      <c r="A55" s="31" t="s">
        <v>50</v>
      </c>
      <c r="B55" s="32" t="s">
        <v>51</v>
      </c>
      <c r="C55" s="32"/>
      <c r="D55" s="43"/>
      <c r="E55" s="32">
        <f>IF(D55="Y",Menus!E83,2)</f>
        <v>2</v>
      </c>
    </row>
    <row r="56" spans="1:5" ht="22.5" x14ac:dyDescent="0.2">
      <c r="A56" s="33"/>
      <c r="B56" s="32" t="s">
        <v>52</v>
      </c>
      <c r="C56" s="32"/>
      <c r="D56" s="43"/>
      <c r="E56" s="32">
        <f>IF(D56="Y",Menus!E85,Menus!E86)</f>
        <v>5</v>
      </c>
    </row>
    <row r="57" spans="1:5" ht="22.5" x14ac:dyDescent="0.2">
      <c r="A57" s="33"/>
      <c r="B57" s="32" t="s">
        <v>91</v>
      </c>
      <c r="C57" s="32"/>
      <c r="D57" s="43"/>
      <c r="E57" s="32">
        <f>IF(D57="Y",Menus!E87,Menus!E88)</f>
        <v>5</v>
      </c>
    </row>
    <row r="58" spans="1:5" x14ac:dyDescent="0.2">
      <c r="A58" s="33"/>
      <c r="B58" s="32" t="s">
        <v>88</v>
      </c>
      <c r="C58" s="32" t="s">
        <v>87</v>
      </c>
      <c r="D58" s="43"/>
      <c r="E58" s="32">
        <f>IF(D58="Y",Menus!E89,2)</f>
        <v>2</v>
      </c>
    </row>
    <row r="59" spans="1:5" x14ac:dyDescent="0.2">
      <c r="A59" s="33"/>
      <c r="B59" s="32"/>
      <c r="C59" s="32" t="s">
        <v>92</v>
      </c>
      <c r="D59" s="43"/>
      <c r="E59" s="32">
        <f>IF(D59="Y",Menus!E91,Menus!E92)</f>
        <v>2</v>
      </c>
    </row>
    <row r="60" spans="1:5" x14ac:dyDescent="0.2">
      <c r="A60" s="33"/>
      <c r="B60" s="32"/>
      <c r="C60" s="32" t="s">
        <v>89</v>
      </c>
      <c r="D60" s="43"/>
      <c r="E60" s="32">
        <f>IF(D60="Y",Menus!E93,Menus!E94)</f>
        <v>5</v>
      </c>
    </row>
    <row r="61" spans="1:5" ht="57.75" customHeight="1" x14ac:dyDescent="0.2">
      <c r="A61" s="45" t="s">
        <v>131</v>
      </c>
      <c r="B61" s="46"/>
      <c r="C61" s="46"/>
      <c r="D61" s="46"/>
      <c r="E61" s="47"/>
    </row>
    <row r="62" spans="1:5" x14ac:dyDescent="0.2">
      <c r="A62" s="34" t="s">
        <v>2</v>
      </c>
      <c r="B62" s="35" t="s">
        <v>69</v>
      </c>
      <c r="C62" s="35" t="s">
        <v>70</v>
      </c>
      <c r="D62" s="43"/>
      <c r="E62" s="35">
        <f>IF(D62="Y",Menus!E95,Menus!E98)</f>
        <v>5</v>
      </c>
    </row>
    <row r="63" spans="1:5" x14ac:dyDescent="0.2">
      <c r="A63" s="35"/>
      <c r="B63" s="35"/>
      <c r="C63" s="35" t="s">
        <v>71</v>
      </c>
      <c r="D63" s="43"/>
      <c r="E63" s="35">
        <f>IF(D63="Y",Menus!E97,Menus!E98)</f>
        <v>5</v>
      </c>
    </row>
    <row r="64" spans="1:5" x14ac:dyDescent="0.2">
      <c r="A64" s="35"/>
      <c r="B64" s="35" t="s">
        <v>72</v>
      </c>
      <c r="C64" s="35"/>
      <c r="D64" s="43"/>
      <c r="E64" s="35">
        <f>IF(D64="Y",Menus!E99,Menus!E100)</f>
        <v>2</v>
      </c>
    </row>
    <row r="65" spans="1:5" x14ac:dyDescent="0.2">
      <c r="A65" s="35"/>
      <c r="B65" s="35" t="s">
        <v>73</v>
      </c>
      <c r="C65" s="35"/>
      <c r="D65" s="43"/>
      <c r="E65" s="35">
        <f>IF(D65="Y",Menus!E101,Menus!E102)</f>
        <v>2</v>
      </c>
    </row>
    <row r="66" spans="1:5" ht="54" customHeight="1" x14ac:dyDescent="0.2">
      <c r="A66" s="45" t="s">
        <v>132</v>
      </c>
      <c r="B66" s="46"/>
      <c r="C66" s="46"/>
      <c r="D66" s="46"/>
      <c r="E66" s="47"/>
    </row>
    <row r="67" spans="1:5" x14ac:dyDescent="0.2">
      <c r="A67" s="36" t="s">
        <v>93</v>
      </c>
      <c r="B67" s="37" t="s">
        <v>76</v>
      </c>
      <c r="C67" s="37"/>
      <c r="D67" s="43"/>
      <c r="E67" s="37">
        <f>IF(D67=Menus!C103,Menus!E103,IF(D67=Menus!C104,Menus!E104,Menus!E105))</f>
        <v>3</v>
      </c>
    </row>
    <row r="68" spans="1:5" x14ac:dyDescent="0.2">
      <c r="A68" s="37"/>
      <c r="B68" s="37" t="s">
        <v>80</v>
      </c>
      <c r="C68" s="37"/>
      <c r="D68" s="43"/>
      <c r="E68" s="37">
        <f>IF(D68="Y",Menus!E106,Menus!E107)</f>
        <v>3</v>
      </c>
    </row>
    <row r="69" spans="1:5" ht="71.25" customHeight="1" x14ac:dyDescent="0.2">
      <c r="A69" s="45" t="s">
        <v>124</v>
      </c>
      <c r="B69" s="46"/>
      <c r="C69" s="46"/>
      <c r="D69" s="46"/>
      <c r="E69" s="47"/>
    </row>
    <row r="70" spans="1:5" ht="22.5" x14ac:dyDescent="0.2">
      <c r="A70" s="38" t="s">
        <v>82</v>
      </c>
      <c r="B70" s="39" t="s">
        <v>83</v>
      </c>
      <c r="C70" s="39"/>
      <c r="D70" s="43"/>
      <c r="E70" s="39">
        <f>IF(D70="Y",Menus!E108,Menus!E109)</f>
        <v>5</v>
      </c>
    </row>
    <row r="71" spans="1:5" x14ac:dyDescent="0.2">
      <c r="A71" s="39"/>
      <c r="B71" s="39" t="s">
        <v>105</v>
      </c>
      <c r="C71" s="39"/>
      <c r="D71" s="43"/>
      <c r="E71" s="39">
        <f>IF(D71="Y",Menus!E110,Menus!E111)</f>
        <v>8</v>
      </c>
    </row>
    <row r="72" spans="1:5" x14ac:dyDescent="0.2">
      <c r="A72" s="39"/>
      <c r="B72" s="39" t="s">
        <v>1</v>
      </c>
      <c r="C72" s="39"/>
      <c r="D72" s="43"/>
      <c r="E72" s="39">
        <f>IF(D72=Menus!C112,Menus!E112,Menus!E113)</f>
        <v>5</v>
      </c>
    </row>
    <row r="73" spans="1:5" x14ac:dyDescent="0.2">
      <c r="A73" s="39"/>
      <c r="B73" s="39" t="s">
        <v>94</v>
      </c>
      <c r="C73" s="39"/>
      <c r="D73" s="43"/>
      <c r="E73" s="39">
        <f>IF(D73="Y",Menus!E114,Menus!E115)</f>
        <v>5</v>
      </c>
    </row>
    <row r="74" spans="1:5" x14ac:dyDescent="0.2">
      <c r="A74" s="39"/>
      <c r="B74" s="39" t="s">
        <v>86</v>
      </c>
      <c r="C74" s="39"/>
      <c r="D74" s="43"/>
      <c r="E74" s="39">
        <f>IF(D74="Y",Menus!E116,Menus!E117)</f>
        <v>2</v>
      </c>
    </row>
    <row r="75" spans="1:5" ht="22.5" x14ac:dyDescent="0.2">
      <c r="A75" s="41" t="s">
        <v>120</v>
      </c>
      <c r="B75" s="40" t="s">
        <v>117</v>
      </c>
      <c r="C75" s="40"/>
      <c r="D75" s="44"/>
      <c r="E75" s="40" t="str">
        <f>IF(E44=0,"FAIL",IF(E46=0,"FAIL",IF(E47=0,"FAIL",SUM(E11:E74)/Menus!E120)))</f>
        <v>FAIL</v>
      </c>
    </row>
  </sheetData>
  <mergeCells count="12">
    <mergeCell ref="A69:E69"/>
    <mergeCell ref="B9:C9"/>
    <mergeCell ref="A10:E10"/>
    <mergeCell ref="A18:E18"/>
    <mergeCell ref="A23:E23"/>
    <mergeCell ref="A26:E26"/>
    <mergeCell ref="A36:E36"/>
    <mergeCell ref="A43:E43"/>
    <mergeCell ref="A49:E49"/>
    <mergeCell ref="A54:E54"/>
    <mergeCell ref="A61:E61"/>
    <mergeCell ref="A66:E66"/>
  </mergeCells>
  <dataValidations count="11">
    <dataValidation type="list" allowBlank="1" showInputMessage="1" showErrorMessage="1" sqref="D16">
      <formula1>size</formula1>
    </dataValidation>
    <dataValidation type="whole" allowBlank="1" showInputMessage="1" showErrorMessage="1" error="Only enter whole numbers 0 - 100" promptTitle="Topography" prompt="Only enter whole numbers 0 - 100" sqref="D11:D13">
      <formula1>0</formula1>
      <formula2>100</formula2>
    </dataValidation>
    <dataValidation type="list" allowBlank="1" showInputMessage="1" showErrorMessage="1" sqref="D19">
      <formula1>threat</formula1>
    </dataValidation>
    <dataValidation type="list" allowBlank="1" showInputMessage="1" showErrorMessage="1" sqref="D20">
      <formula1>cover</formula1>
    </dataValidation>
    <dataValidation type="list" allowBlank="1" showInputMessage="1" showErrorMessage="1" sqref="D21">
      <formula1>biomass</formula1>
    </dataValidation>
    <dataValidation type="list" allowBlank="1" showInputMessage="1" showErrorMessage="1" sqref="D22:D23">
      <formula1>soil</formula1>
    </dataValidation>
    <dataValidation type="list" allowBlank="1" showInputMessage="1" showErrorMessage="1" sqref="D24:D26">
      <formula1>leak</formula1>
    </dataValidation>
    <dataValidation type="list" allowBlank="1" showInputMessage="1" showErrorMessage="1" sqref="D40">
      <formula1>water</formula1>
    </dataValidation>
    <dataValidation type="list" allowBlank="1" showInputMessage="1" showErrorMessage="1" sqref="D37">
      <formula1>logis</formula1>
    </dataValidation>
    <dataValidation type="list" allowBlank="1" showInputMessage="1" showErrorMessage="1" sqref="D67">
      <formula1>ner</formula1>
    </dataValidation>
    <dataValidation type="list" allowBlank="1" showInputMessage="1" showErrorMessage="1" sqref="D68:D74 D17:D18 D14:D15 D27:D36 D38:D39 D41:D66">
      <formula1>y_n</formula1>
    </dataValidation>
  </dataValidations>
  <printOptions headings="1"/>
  <pageMargins left="0.70866141732283472" right="0.70866141732283472" top="0.57999999999999996" bottom="0.74803149606299213" header="0.31496062992125984" footer="0.31496062992125984"/>
  <pageSetup paperSize="9" orientation="portrait" verticalDpi="0" r:id="rId1"/>
  <headerFooter>
    <oddHeader>&amp;CCopyright © 2014. BioCarbon Partners. All Rights Reserved</oddHeader>
    <oddFooter>&amp;CBioCarbon Partners Pre-viability Site Assessment Tool, Version 1, 2014</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N64"/>
  <sheetViews>
    <sheetView showGridLines="0" view="pageLayout" zoomScale="190" zoomScaleNormal="100" zoomScalePageLayoutView="190" workbookViewId="0">
      <selection activeCell="B10" sqref="B10"/>
    </sheetView>
  </sheetViews>
  <sheetFormatPr defaultColWidth="9.33203125" defaultRowHeight="11.25" x14ac:dyDescent="0.2"/>
  <cols>
    <col min="1" max="1" width="26" style="8" customWidth="1"/>
    <col min="2" max="2" width="29.83203125" style="8" customWidth="1"/>
    <col min="3" max="3" width="31.1640625" style="8" customWidth="1"/>
    <col min="4" max="4" width="9.33203125" style="8"/>
    <col min="5" max="5" width="9.83203125" style="8" bestFit="1" customWidth="1"/>
    <col min="6" max="16384" width="9.33203125" style="8"/>
  </cols>
  <sheetData>
    <row r="8" spans="1:14" x14ac:dyDescent="0.2">
      <c r="A8" s="6" t="s">
        <v>116</v>
      </c>
      <c r="B8" s="7"/>
    </row>
    <row r="9" spans="1:14" x14ac:dyDescent="0.2">
      <c r="A9" s="9" t="s">
        <v>99</v>
      </c>
      <c r="B9" s="48" t="s">
        <v>100</v>
      </c>
      <c r="C9" s="48"/>
      <c r="D9" s="9" t="s">
        <v>119</v>
      </c>
      <c r="E9" s="9" t="s">
        <v>101</v>
      </c>
    </row>
    <row r="10" spans="1:14" x14ac:dyDescent="0.2">
      <c r="A10" s="10" t="s">
        <v>10</v>
      </c>
      <c r="B10" s="11" t="s">
        <v>26</v>
      </c>
      <c r="C10" s="11" t="s">
        <v>27</v>
      </c>
      <c r="D10" s="43"/>
      <c r="E10" s="11">
        <f>D10/100*Menus!E2</f>
        <v>0</v>
      </c>
    </row>
    <row r="11" spans="1:14" x14ac:dyDescent="0.2">
      <c r="A11" s="12"/>
      <c r="B11" s="11"/>
      <c r="C11" s="11" t="s">
        <v>28</v>
      </c>
      <c r="D11" s="43"/>
      <c r="E11" s="11">
        <f>D11/100*Menus!E3</f>
        <v>0</v>
      </c>
    </row>
    <row r="12" spans="1:14" x14ac:dyDescent="0.2">
      <c r="A12" s="12"/>
      <c r="B12" s="11"/>
      <c r="C12" s="11" t="s">
        <v>95</v>
      </c>
      <c r="D12" s="43"/>
      <c r="E12" s="11">
        <f>D12/100*Menus!E4</f>
        <v>0</v>
      </c>
    </row>
    <row r="13" spans="1:14" x14ac:dyDescent="0.2">
      <c r="A13" s="11"/>
      <c r="B13" s="42" t="s">
        <v>121</v>
      </c>
      <c r="C13" s="11" t="s">
        <v>47</v>
      </c>
      <c r="D13" s="43"/>
      <c r="E13" s="11">
        <f>IF(D13="Y",Menus!E5,Menus!E6)</f>
        <v>5</v>
      </c>
    </row>
    <row r="14" spans="1:14" x14ac:dyDescent="0.2">
      <c r="A14" s="11"/>
      <c r="B14" s="12" t="s">
        <v>6</v>
      </c>
      <c r="C14" s="11" t="s">
        <v>48</v>
      </c>
      <c r="D14" s="43"/>
      <c r="E14" s="11">
        <f>IF(D14="Y",Menus!E8,Menus!E9)</f>
        <v>5</v>
      </c>
    </row>
    <row r="15" spans="1:14" x14ac:dyDescent="0.2">
      <c r="A15" s="11"/>
      <c r="B15" s="13" t="s">
        <v>35</v>
      </c>
      <c r="C15" s="11"/>
      <c r="D15" s="43"/>
      <c r="E15" s="11">
        <f>IF(D15=Menus!C11,Menus!E11,IF(D15=Menus!C12,Menus!E12,Menus!E13))</f>
        <v>2</v>
      </c>
      <c r="M15" s="14"/>
      <c r="N15" s="14"/>
    </row>
    <row r="16" spans="1:14" x14ac:dyDescent="0.2">
      <c r="A16" s="11"/>
      <c r="B16" s="12" t="s">
        <v>3</v>
      </c>
      <c r="C16" s="12" t="s">
        <v>104</v>
      </c>
      <c r="D16" s="43"/>
      <c r="E16" s="11">
        <f>IF(D16="Y",Menus!E15,Menus!E14)</f>
        <v>2</v>
      </c>
      <c r="M16" s="14"/>
      <c r="N16" s="14"/>
    </row>
    <row r="17" spans="1:14" x14ac:dyDescent="0.2">
      <c r="A17" s="15" t="s">
        <v>11</v>
      </c>
      <c r="B17" s="16" t="s">
        <v>8</v>
      </c>
      <c r="C17" s="17"/>
      <c r="D17" s="43"/>
      <c r="E17" s="17">
        <f>IF(D17=Menus!C16,Menus!E16,IF('Area 1'!D17=Menus!C12,Menus!E12,Menus!E13))</f>
        <v>2</v>
      </c>
      <c r="M17" s="14"/>
      <c r="N17" s="14"/>
    </row>
    <row r="18" spans="1:14" x14ac:dyDescent="0.2">
      <c r="A18" s="17"/>
      <c r="B18" s="16" t="s">
        <v>9</v>
      </c>
      <c r="C18" s="17"/>
      <c r="D18" s="43"/>
      <c r="E18" s="17">
        <f>IF(D18=Menus!C19,Menus!E19,IF(D18=Menus!C20,Menus!E20,Menus!E21))</f>
        <v>2</v>
      </c>
      <c r="M18" s="14"/>
      <c r="N18" s="14"/>
    </row>
    <row r="19" spans="1:14" x14ac:dyDescent="0.2">
      <c r="A19" s="16"/>
      <c r="B19" s="16" t="s">
        <v>96</v>
      </c>
      <c r="C19" s="17"/>
      <c r="D19" s="43"/>
      <c r="E19" s="17">
        <f>IF(D19=Menus!C22,Menus!E22,IF('Area 1'!D19=Menus!C23,Menus!E23,Menus!E24))</f>
        <v>3</v>
      </c>
      <c r="M19" s="14"/>
      <c r="N19" s="14"/>
    </row>
    <row r="20" spans="1:14" x14ac:dyDescent="0.2">
      <c r="A20" s="16"/>
      <c r="B20" s="17" t="s">
        <v>21</v>
      </c>
      <c r="C20" s="17"/>
      <c r="D20" s="43"/>
      <c r="E20" s="17">
        <f>IF(D20=Menus!C25,Menus!E25,IF('Area 1'!D20=Menus!C26,Menus!E26,Menus!E27))</f>
        <v>3</v>
      </c>
    </row>
    <row r="21" spans="1:14" x14ac:dyDescent="0.2">
      <c r="A21" s="18" t="s">
        <v>65</v>
      </c>
      <c r="B21" s="19" t="s">
        <v>114</v>
      </c>
      <c r="C21" s="19"/>
      <c r="D21" s="43"/>
      <c r="E21" s="19">
        <f>IF(D21=Menus!C28,Menus!E28, IF('Area 1'!D21=Menus!C29,Menus!E29,Menus!E30))</f>
        <v>10</v>
      </c>
    </row>
    <row r="22" spans="1:14" x14ac:dyDescent="0.2">
      <c r="A22" s="20"/>
      <c r="B22" s="19" t="s">
        <v>115</v>
      </c>
      <c r="C22" s="19"/>
      <c r="D22" s="43"/>
      <c r="E22" s="19">
        <f>IF(D22=Menus!C31,Menus!E31,IF(D22=Menus!C32,Menus!E32,Menus!E33))</f>
        <v>10</v>
      </c>
    </row>
    <row r="23" spans="1:14" x14ac:dyDescent="0.2">
      <c r="A23" s="21" t="s">
        <v>81</v>
      </c>
      <c r="B23" s="22" t="s">
        <v>22</v>
      </c>
      <c r="C23" s="22"/>
      <c r="D23" s="43"/>
      <c r="E23" s="22">
        <f>IF(D23="Y",Menus!E34,0)</f>
        <v>0</v>
      </c>
    </row>
    <row r="24" spans="1:14" x14ac:dyDescent="0.2">
      <c r="A24" s="23"/>
      <c r="B24" s="22" t="s">
        <v>23</v>
      </c>
      <c r="C24" s="22"/>
      <c r="D24" s="43"/>
      <c r="E24" s="22">
        <f>IF(D24="Y",Menus!E35,0)</f>
        <v>0</v>
      </c>
    </row>
    <row r="25" spans="1:14" x14ac:dyDescent="0.2">
      <c r="A25" s="23"/>
      <c r="B25" s="22" t="s">
        <v>24</v>
      </c>
      <c r="C25" s="22"/>
      <c r="D25" s="43"/>
      <c r="E25" s="22">
        <f>IF(D25="Y",Menus!E36,0)</f>
        <v>0</v>
      </c>
    </row>
    <row r="26" spans="1:14" x14ac:dyDescent="0.2">
      <c r="A26" s="23"/>
      <c r="B26" s="22" t="s">
        <v>55</v>
      </c>
      <c r="C26" s="22"/>
      <c r="D26" s="43"/>
      <c r="E26" s="22">
        <f>IF(D26="Y",Menus!E37,0)</f>
        <v>0</v>
      </c>
    </row>
    <row r="27" spans="1:14" x14ac:dyDescent="0.2">
      <c r="A27" s="22"/>
      <c r="B27" s="23" t="s">
        <v>29</v>
      </c>
      <c r="C27" s="22"/>
      <c r="D27" s="43"/>
      <c r="E27" s="22">
        <f>IF(D27="Y",Menus!E38,0)</f>
        <v>0</v>
      </c>
    </row>
    <row r="28" spans="1:14" x14ac:dyDescent="0.2">
      <c r="A28" s="23"/>
      <c r="B28" s="23" t="s">
        <v>13</v>
      </c>
      <c r="C28" s="22"/>
      <c r="D28" s="43"/>
      <c r="E28" s="22">
        <f>IF(D28="Y",Menus!E40,Menus!E41)</f>
        <v>3</v>
      </c>
    </row>
    <row r="29" spans="1:14" x14ac:dyDescent="0.2">
      <c r="A29" s="22"/>
      <c r="B29" s="22" t="s">
        <v>7</v>
      </c>
      <c r="C29" s="22"/>
      <c r="D29" s="43"/>
      <c r="E29" s="22">
        <f>IF(D29="Y",Menus!E42,0)</f>
        <v>0</v>
      </c>
    </row>
    <row r="30" spans="1:14" x14ac:dyDescent="0.2">
      <c r="A30" s="22"/>
      <c r="B30" s="22" t="s">
        <v>53</v>
      </c>
      <c r="C30" s="22"/>
      <c r="D30" s="43"/>
      <c r="E30" s="22">
        <f>IF(D30="Y",Menus!E44,Menus!E45)</f>
        <v>2</v>
      </c>
    </row>
    <row r="31" spans="1:14" x14ac:dyDescent="0.2">
      <c r="A31" s="22"/>
      <c r="B31" s="22" t="s">
        <v>54</v>
      </c>
      <c r="C31" s="22"/>
      <c r="D31" s="43"/>
      <c r="E31" s="22">
        <f>IF('Area 1'!D31="Y",Menus!E46,Menus!E47)</f>
        <v>2</v>
      </c>
    </row>
    <row r="32" spans="1:14" x14ac:dyDescent="0.2">
      <c r="A32" s="24" t="s">
        <v>12</v>
      </c>
      <c r="B32" s="25" t="s">
        <v>56</v>
      </c>
      <c r="C32" s="25"/>
      <c r="D32" s="43"/>
      <c r="E32" s="25">
        <f>IF(D32=Menus!C48,Menus!E48,IF(D32=Menus!C49,Menus!E49,Menus!E50))</f>
        <v>2</v>
      </c>
    </row>
    <row r="33" spans="1:5" x14ac:dyDescent="0.2">
      <c r="A33" s="25"/>
      <c r="B33" s="25" t="s">
        <v>60</v>
      </c>
      <c r="C33" s="25"/>
      <c r="D33" s="43"/>
      <c r="E33" s="25">
        <f>IF(D33="Y",Menus!E51,2)</f>
        <v>2</v>
      </c>
    </row>
    <row r="34" spans="1:5" ht="22.5" x14ac:dyDescent="0.2">
      <c r="A34" s="25"/>
      <c r="B34" s="25" t="s">
        <v>74</v>
      </c>
      <c r="C34" s="25"/>
      <c r="D34" s="43"/>
      <c r="E34" s="25">
        <f>IF(D34="Y",Menus!E53,Menus!E54)</f>
        <v>2</v>
      </c>
    </row>
    <row r="35" spans="1:5" x14ac:dyDescent="0.2">
      <c r="A35" s="25"/>
      <c r="B35" s="25" t="s">
        <v>61</v>
      </c>
      <c r="C35" s="25"/>
      <c r="D35" s="43"/>
      <c r="E35" s="25">
        <f>IF(D35=Menus!C55,Menus!E55,IF(D35=Menus!C56,2,IF(D35=Menus!C57,Menus!E57,Menus!E58)))</f>
        <v>9</v>
      </c>
    </row>
    <row r="36" spans="1:5" x14ac:dyDescent="0.2">
      <c r="A36" s="25"/>
      <c r="B36" s="25" t="s">
        <v>62</v>
      </c>
      <c r="C36" s="25"/>
      <c r="D36" s="43"/>
      <c r="E36" s="25">
        <f>IF(D36="Y",Menus!E59,0)</f>
        <v>0</v>
      </c>
    </row>
    <row r="37" spans="1:5" x14ac:dyDescent="0.2">
      <c r="A37" s="25"/>
      <c r="B37" s="25" t="s">
        <v>75</v>
      </c>
      <c r="C37" s="25"/>
      <c r="D37" s="43"/>
      <c r="E37" s="25">
        <f>IF(D37="Y",Menus!E60,Menus!E61)</f>
        <v>5</v>
      </c>
    </row>
    <row r="38" spans="1:5" x14ac:dyDescent="0.2">
      <c r="A38" s="26" t="s">
        <v>36</v>
      </c>
      <c r="B38" s="27" t="s">
        <v>37</v>
      </c>
      <c r="C38" s="27"/>
      <c r="D38" s="43"/>
      <c r="E38" s="27">
        <f>IF(D38="Y",Menus!E64,Menus!E65)</f>
        <v>0</v>
      </c>
    </row>
    <row r="39" spans="1:5" x14ac:dyDescent="0.2">
      <c r="A39" s="27"/>
      <c r="B39" s="27" t="s">
        <v>38</v>
      </c>
      <c r="C39" s="27" t="s">
        <v>39</v>
      </c>
      <c r="D39" s="43"/>
      <c r="E39" s="27">
        <f>IF(D39="Y",Menus!E66,Menus!E67)</f>
        <v>5</v>
      </c>
    </row>
    <row r="40" spans="1:5" x14ac:dyDescent="0.2">
      <c r="A40" s="27"/>
      <c r="B40" s="27" t="s">
        <v>98</v>
      </c>
      <c r="C40" s="27" t="s">
        <v>40</v>
      </c>
      <c r="D40" s="43"/>
      <c r="E40" s="27">
        <f>IF(D40="Y",Menus!E68,Menus!E69)</f>
        <v>0</v>
      </c>
    </row>
    <row r="41" spans="1:5" x14ac:dyDescent="0.2">
      <c r="A41" s="27"/>
      <c r="B41" s="27"/>
      <c r="C41" s="27" t="s">
        <v>41</v>
      </c>
      <c r="D41" s="43"/>
      <c r="E41" s="27">
        <f>IF(D41="Y",Menus!E70,Menus!E71)</f>
        <v>5</v>
      </c>
    </row>
    <row r="42" spans="1:5" x14ac:dyDescent="0.2">
      <c r="A42" s="27"/>
      <c r="B42" s="27" t="s">
        <v>42</v>
      </c>
      <c r="C42" s="27" t="s">
        <v>43</v>
      </c>
      <c r="D42" s="43"/>
      <c r="E42" s="27">
        <f>IF(D42=Menus!E72,Menus!E72,Menus!E73)</f>
        <v>5</v>
      </c>
    </row>
    <row r="43" spans="1:5" x14ac:dyDescent="0.2">
      <c r="A43" s="28" t="s">
        <v>44</v>
      </c>
      <c r="B43" s="29" t="s">
        <v>25</v>
      </c>
      <c r="C43" s="29"/>
      <c r="D43" s="43"/>
      <c r="E43" s="29">
        <f>IF(D43="Y",Menus!E74,Menus!E75)</f>
        <v>10</v>
      </c>
    </row>
    <row r="44" spans="1:5" x14ac:dyDescent="0.2">
      <c r="A44" s="30"/>
      <c r="B44" s="29" t="s">
        <v>45</v>
      </c>
      <c r="C44" s="29"/>
      <c r="D44" s="43"/>
      <c r="E44" s="29">
        <f>IF(D44=Menus!E76,Menus!E76,Menus!E77)</f>
        <v>5</v>
      </c>
    </row>
    <row r="45" spans="1:5" x14ac:dyDescent="0.2">
      <c r="A45" s="30"/>
      <c r="B45" s="29" t="s">
        <v>49</v>
      </c>
      <c r="C45" s="29"/>
      <c r="D45" s="43"/>
      <c r="E45" s="29">
        <f>IF(D45="Y",Menus!E78,Menus!E79)</f>
        <v>5</v>
      </c>
    </row>
    <row r="46" spans="1:5" x14ac:dyDescent="0.2">
      <c r="A46" s="30"/>
      <c r="B46" s="29" t="s">
        <v>46</v>
      </c>
      <c r="C46" s="29"/>
      <c r="D46" s="43"/>
      <c r="E46" s="29">
        <f>IF(D46=Menus!C80,Menus!E80,IF(D46=Menus!C81,Menus!E81,Menus!E82))</f>
        <v>10</v>
      </c>
    </row>
    <row r="47" spans="1:5" x14ac:dyDescent="0.2">
      <c r="A47" s="31" t="s">
        <v>50</v>
      </c>
      <c r="B47" s="32" t="s">
        <v>51</v>
      </c>
      <c r="C47" s="32"/>
      <c r="D47" s="43"/>
      <c r="E47" s="32">
        <f>IF(D47="Y",Menus!E83,2)</f>
        <v>2</v>
      </c>
    </row>
    <row r="48" spans="1:5" ht="22.5" x14ac:dyDescent="0.2">
      <c r="A48" s="33"/>
      <c r="B48" s="32" t="s">
        <v>52</v>
      </c>
      <c r="C48" s="32"/>
      <c r="D48" s="43"/>
      <c r="E48" s="32">
        <f>IF(D48="Y",Menus!E85,Menus!E86)</f>
        <v>5</v>
      </c>
    </row>
    <row r="49" spans="1:5" ht="22.5" x14ac:dyDescent="0.2">
      <c r="A49" s="33"/>
      <c r="B49" s="32" t="s">
        <v>91</v>
      </c>
      <c r="C49" s="32"/>
      <c r="D49" s="43"/>
      <c r="E49" s="32">
        <f>IF(D49="Y",Menus!E87,Menus!E88)</f>
        <v>5</v>
      </c>
    </row>
    <row r="50" spans="1:5" x14ac:dyDescent="0.2">
      <c r="A50" s="33"/>
      <c r="B50" s="32" t="s">
        <v>88</v>
      </c>
      <c r="C50" s="32" t="s">
        <v>87</v>
      </c>
      <c r="D50" s="43"/>
      <c r="E50" s="32">
        <f>IF(D50="Y",Menus!E89,2)</f>
        <v>2</v>
      </c>
    </row>
    <row r="51" spans="1:5" x14ac:dyDescent="0.2">
      <c r="A51" s="33"/>
      <c r="B51" s="32"/>
      <c r="C51" s="32" t="s">
        <v>92</v>
      </c>
      <c r="D51" s="43"/>
      <c r="E51" s="32">
        <f>IF(D51="Y",Menus!E91,Menus!E92)</f>
        <v>2</v>
      </c>
    </row>
    <row r="52" spans="1:5" x14ac:dyDescent="0.2">
      <c r="A52" s="33"/>
      <c r="B52" s="32"/>
      <c r="C52" s="32" t="s">
        <v>89</v>
      </c>
      <c r="D52" s="43"/>
      <c r="E52" s="32">
        <f>IF(D52="Y",Menus!E93,Menus!E94)</f>
        <v>5</v>
      </c>
    </row>
    <row r="53" spans="1:5" x14ac:dyDescent="0.2">
      <c r="A53" s="34" t="s">
        <v>2</v>
      </c>
      <c r="B53" s="35" t="s">
        <v>69</v>
      </c>
      <c r="C53" s="35" t="s">
        <v>70</v>
      </c>
      <c r="D53" s="43"/>
      <c r="E53" s="35">
        <f>IF(D53="Y",Menus!E95,Menus!E98)</f>
        <v>5</v>
      </c>
    </row>
    <row r="54" spans="1:5" x14ac:dyDescent="0.2">
      <c r="A54" s="35"/>
      <c r="B54" s="35"/>
      <c r="C54" s="35" t="s">
        <v>71</v>
      </c>
      <c r="D54" s="43"/>
      <c r="E54" s="35">
        <f>IF(D54="Y",Menus!E97,Menus!E98)</f>
        <v>5</v>
      </c>
    </row>
    <row r="55" spans="1:5" x14ac:dyDescent="0.2">
      <c r="A55" s="35"/>
      <c r="B55" s="35" t="s">
        <v>72</v>
      </c>
      <c r="C55" s="35"/>
      <c r="D55" s="43"/>
      <c r="E55" s="35">
        <f>IF(D55="Y",Menus!E99,Menus!E100)</f>
        <v>2</v>
      </c>
    </row>
    <row r="56" spans="1:5" x14ac:dyDescent="0.2">
      <c r="A56" s="35"/>
      <c r="B56" s="35" t="s">
        <v>73</v>
      </c>
      <c r="C56" s="35"/>
      <c r="D56" s="43"/>
      <c r="E56" s="35">
        <f>IF(D56="Y",Menus!E101,Menus!E102)</f>
        <v>2</v>
      </c>
    </row>
    <row r="57" spans="1:5" x14ac:dyDescent="0.2">
      <c r="A57" s="36" t="s">
        <v>93</v>
      </c>
      <c r="B57" s="37" t="s">
        <v>76</v>
      </c>
      <c r="C57" s="37"/>
      <c r="D57" s="43"/>
      <c r="E57" s="37">
        <f>IF(D57=Menus!C103,Menus!E103,IF(D57=Menus!C104,Menus!E104,Menus!E105))</f>
        <v>3</v>
      </c>
    </row>
    <row r="58" spans="1:5" x14ac:dyDescent="0.2">
      <c r="A58" s="37"/>
      <c r="B58" s="37" t="s">
        <v>80</v>
      </c>
      <c r="C58" s="37"/>
      <c r="D58" s="43"/>
      <c r="E58" s="37">
        <f>IF(D58="Y",Menus!E106,Menus!E107)</f>
        <v>3</v>
      </c>
    </row>
    <row r="59" spans="1:5" ht="22.5" x14ac:dyDescent="0.2">
      <c r="A59" s="38" t="s">
        <v>82</v>
      </c>
      <c r="B59" s="39" t="s">
        <v>83</v>
      </c>
      <c r="C59" s="39"/>
      <c r="D59" s="43"/>
      <c r="E59" s="39">
        <f>IF(D59="Y",Menus!E108,Menus!E109)</f>
        <v>5</v>
      </c>
    </row>
    <row r="60" spans="1:5" x14ac:dyDescent="0.2">
      <c r="A60" s="39"/>
      <c r="B60" s="39" t="s">
        <v>105</v>
      </c>
      <c r="C60" s="39"/>
      <c r="D60" s="43"/>
      <c r="E60" s="39">
        <f>IF(D60="Y",Menus!E110,Menus!E111)</f>
        <v>8</v>
      </c>
    </row>
    <row r="61" spans="1:5" x14ac:dyDescent="0.2">
      <c r="A61" s="39"/>
      <c r="B61" s="39" t="s">
        <v>1</v>
      </c>
      <c r="C61" s="39"/>
      <c r="D61" s="43"/>
      <c r="E61" s="39">
        <f>IF(D61=Menus!C112,Menus!E112,Menus!E113)</f>
        <v>5</v>
      </c>
    </row>
    <row r="62" spans="1:5" x14ac:dyDescent="0.2">
      <c r="A62" s="39"/>
      <c r="B62" s="39" t="s">
        <v>94</v>
      </c>
      <c r="C62" s="39"/>
      <c r="D62" s="43"/>
      <c r="E62" s="39">
        <f>IF(D62="Y",Menus!E114,Menus!E115)</f>
        <v>5</v>
      </c>
    </row>
    <row r="63" spans="1:5" x14ac:dyDescent="0.2">
      <c r="A63" s="39"/>
      <c r="B63" s="39" t="s">
        <v>86</v>
      </c>
      <c r="C63" s="39"/>
      <c r="D63" s="43"/>
      <c r="E63" s="39">
        <f>IF(D63="Y",Menus!E116,Menus!E117)</f>
        <v>2</v>
      </c>
    </row>
    <row r="64" spans="1:5" ht="22.5" x14ac:dyDescent="0.2">
      <c r="A64" s="41" t="s">
        <v>120</v>
      </c>
      <c r="B64" s="40" t="s">
        <v>117</v>
      </c>
      <c r="C64" s="40"/>
      <c r="D64" s="44"/>
      <c r="E64" s="40" t="str">
        <f>IF(E38=0,"FAIL",IF(E40=0,"FAIL",IF(E41=0,"FAIL",SUM(E10:E63)/Menus!E120)))</f>
        <v>FAIL</v>
      </c>
    </row>
  </sheetData>
  <sheetProtection password="C58F" sheet="1" objects="1" scenarios="1"/>
  <mergeCells count="1">
    <mergeCell ref="B9:C9"/>
  </mergeCells>
  <dataValidations count="11">
    <dataValidation type="list" allowBlank="1" showInputMessage="1" showErrorMessage="1" sqref="D58:D63 D16 D13:D14 D23:D31 D33:D34 D36:D56">
      <formula1>y_n</formula1>
    </dataValidation>
    <dataValidation type="list" allowBlank="1" showInputMessage="1" showErrorMessage="1" sqref="D57">
      <formula1>ner</formula1>
    </dataValidation>
    <dataValidation type="list" allowBlank="1" showInputMessage="1" showErrorMessage="1" sqref="D32">
      <formula1>logis</formula1>
    </dataValidation>
    <dataValidation type="list" allowBlank="1" showInputMessage="1" showErrorMessage="1" sqref="D35">
      <formula1>water</formula1>
    </dataValidation>
    <dataValidation type="list" allowBlank="1" showInputMessage="1" showErrorMessage="1" sqref="D21:D22">
      <formula1>leak</formula1>
    </dataValidation>
    <dataValidation type="list" allowBlank="1" showInputMessage="1" showErrorMessage="1" sqref="D20">
      <formula1>soil</formula1>
    </dataValidation>
    <dataValidation type="list" allowBlank="1" showInputMessage="1" showErrorMessage="1" sqref="D19">
      <formula1>biomass</formula1>
    </dataValidation>
    <dataValidation type="list" allowBlank="1" showInputMessage="1" showErrorMessage="1" sqref="D18">
      <formula1>cover</formula1>
    </dataValidation>
    <dataValidation type="list" allowBlank="1" showInputMessage="1" showErrorMessage="1" sqref="D17">
      <formula1>threat</formula1>
    </dataValidation>
    <dataValidation type="whole" allowBlank="1" showInputMessage="1" showErrorMessage="1" error="Only enter whole numbers 0 - 100" promptTitle="Topography" prompt="Only enter whole numbers 0 - 100" sqref="D10:D12">
      <formula1>0</formula1>
      <formula2>100</formula2>
    </dataValidation>
    <dataValidation type="list" allowBlank="1" showInputMessage="1" showErrorMessage="1" sqref="D15">
      <formula1>size</formula1>
    </dataValidation>
  </dataValidations>
  <printOptions headings="1"/>
  <pageMargins left="0.70866141732283472" right="0.70866141732283472" top="0.57999999999999996" bottom="0.74803149606299213" header="0.31496062992125984" footer="0.31496062992125984"/>
  <pageSetup paperSize="9" orientation="portrait" r:id="rId1"/>
  <headerFooter>
    <oddHeader>&amp;CCopyright © 2014. BioCarbon Partners. All Rights Reserved</oddHeader>
    <oddFooter>&amp;CBioCarbon Partners Pre-viability Site Assessment Tool, Version 1, 2014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2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2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2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2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2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Menus</vt:lpstr>
      <vt:lpstr>How to</vt:lpstr>
      <vt:lpstr>Area 1</vt:lpstr>
      <vt:lpstr>Sheet3</vt:lpstr>
      <vt:lpstr>Sheet4</vt:lpstr>
      <vt:lpstr>Sheet5</vt:lpstr>
      <vt:lpstr>Sheet6</vt:lpstr>
      <vt:lpstr>Sheet7</vt:lpstr>
      <vt:lpstr>Sheet8</vt:lpstr>
      <vt:lpstr>biomass</vt:lpstr>
      <vt:lpstr>cover</vt:lpstr>
      <vt:lpstr>leak</vt:lpstr>
      <vt:lpstr>logis</vt:lpstr>
      <vt:lpstr>ner</vt:lpstr>
      <vt:lpstr>size</vt:lpstr>
      <vt:lpstr>soil</vt:lpstr>
      <vt:lpstr>tenure</vt:lpstr>
      <vt:lpstr>threat</vt:lpstr>
      <vt:lpstr>topo</vt:lpstr>
      <vt:lpstr>water</vt:lpstr>
      <vt:lpstr>y_n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LJ Theron</dc:creator>
  <cp:lastModifiedBy>USAID</cp:lastModifiedBy>
  <cp:lastPrinted>2014-04-01T14:57:40Z</cp:lastPrinted>
  <dcterms:created xsi:type="dcterms:W3CDTF">2013-09-20T13:15:36Z</dcterms:created>
  <dcterms:modified xsi:type="dcterms:W3CDTF">2014-05-06T06:42:44Z</dcterms:modified>
</cp:coreProperties>
</file>